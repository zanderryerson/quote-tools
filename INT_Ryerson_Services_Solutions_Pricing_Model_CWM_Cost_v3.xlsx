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3"/>
  <workbookPr/>
  <xr:revisionPtr revIDLastSave="0" documentId="11_AD8E5B42845197D7D485298490804748A21CE225" xr6:coauthVersionLast="47" xr6:coauthVersionMax="47" xr10:uidLastSave="{00000000-0000-0000-0000-000000000000}"/>
  <bookViews>
    <workbookView xWindow="0" yWindow="0" windowWidth="16384" windowHeight="8192" tabRatio="500" activeTab="3" xr2:uid="{00000000-000D-0000-FFFF-FFFF00000000}"/>
  </bookViews>
  <sheets>
    <sheet name="START HERE" sheetId="1" r:id="rId1"/>
    <sheet name="Product Catalogue" sheetId="2" r:id="rId2"/>
    <sheet name="Complexity Drivers" sheetId="3" r:id="rId3"/>
    <sheet name="Quote Calculator" sheetId="4" r:id="rId4"/>
    <sheet name="Unit Economics" sheetId="5" r:id="rId5"/>
    <sheet name="Client Quote" sheetId="6" r:id="rId6"/>
    <sheet name="Controls" sheetId="7"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D7" i="4" l="1"/>
  <c r="D8" i="4"/>
  <c r="A30" i="6"/>
  <c r="D33" i="4"/>
  <c r="E12" i="4"/>
  <c r="C12" i="4"/>
  <c r="D12" i="4"/>
  <c r="F12" i="4"/>
  <c r="G12" i="4"/>
  <c r="E13" i="4"/>
  <c r="C13" i="4"/>
  <c r="D13" i="4"/>
  <c r="F13" i="4"/>
  <c r="G13" i="4"/>
  <c r="E14" i="4"/>
  <c r="C14" i="4"/>
  <c r="D14" i="4"/>
  <c r="F14" i="4"/>
  <c r="G14" i="4"/>
  <c r="E15" i="4"/>
  <c r="C15" i="4"/>
  <c r="D15" i="4"/>
  <c r="F15" i="4"/>
  <c r="G15" i="4"/>
  <c r="E22" i="4"/>
  <c r="C22" i="4"/>
  <c r="D22" i="4"/>
  <c r="F22" i="4"/>
  <c r="G22" i="4"/>
  <c r="E21" i="4"/>
  <c r="C21" i="4"/>
  <c r="D21" i="4"/>
  <c r="F21" i="4"/>
  <c r="G21" i="4"/>
  <c r="E20" i="4"/>
  <c r="C20" i="4"/>
  <c r="D20" i="4"/>
  <c r="F20" i="4"/>
  <c r="G20" i="4"/>
  <c r="E19" i="4"/>
  <c r="C19" i="4"/>
  <c r="D19" i="4"/>
  <c r="F19" i="4"/>
  <c r="G19" i="4"/>
  <c r="E18" i="4"/>
  <c r="C18" i="4"/>
  <c r="D18" i="4"/>
  <c r="F18" i="4"/>
  <c r="G18" i="4"/>
  <c r="E17" i="4"/>
  <c r="C17" i="4"/>
  <c r="D17" i="4"/>
  <c r="F17" i="4"/>
  <c r="G17" i="4"/>
  <c r="E16" i="4"/>
  <c r="C16" i="4"/>
  <c r="D16" i="4"/>
  <c r="F16" i="4"/>
  <c r="G16" i="4"/>
  <c r="G23" i="4"/>
  <c r="G24" i="4"/>
  <c r="E33" i="4"/>
  <c r="F33" i="4"/>
  <c r="H33" i="4"/>
  <c r="J33" i="4"/>
  <c r="D34" i="4"/>
  <c r="E34" i="4"/>
  <c r="F34" i="4"/>
  <c r="H34" i="4"/>
  <c r="J34" i="4"/>
  <c r="D35" i="4"/>
  <c r="E35" i="4"/>
  <c r="F35" i="4"/>
  <c r="H35" i="4"/>
  <c r="J35" i="4"/>
  <c r="D36" i="4"/>
  <c r="E36" i="4"/>
  <c r="F36" i="4"/>
  <c r="H36" i="4"/>
  <c r="J36" i="4"/>
  <c r="H48" i="4"/>
  <c r="J48" i="4"/>
  <c r="H47" i="4"/>
  <c r="J47" i="4"/>
  <c r="H46" i="4"/>
  <c r="J46" i="4"/>
  <c r="H45" i="4"/>
  <c r="J45" i="4"/>
  <c r="H44" i="4"/>
  <c r="J44" i="4"/>
  <c r="H43" i="4"/>
  <c r="J43" i="4"/>
  <c r="H42" i="4"/>
  <c r="J42" i="4"/>
  <c r="H41" i="4"/>
  <c r="J41" i="4"/>
  <c r="H40" i="4"/>
  <c r="J40" i="4"/>
  <c r="H39" i="4"/>
  <c r="J39" i="4"/>
  <c r="H38" i="4"/>
  <c r="J38" i="4"/>
  <c r="H37" i="4"/>
  <c r="J37" i="4"/>
  <c r="J49" i="4"/>
  <c r="J51" i="4"/>
  <c r="E25" i="6"/>
  <c r="E26" i="6"/>
  <c r="E27" i="6"/>
  <c r="C26" i="6"/>
  <c r="E24" i="6"/>
  <c r="D24" i="6"/>
  <c r="C24" i="6"/>
  <c r="B24" i="6"/>
  <c r="A24" i="6"/>
  <c r="E23" i="6"/>
  <c r="D23" i="6"/>
  <c r="C23" i="6"/>
  <c r="B23" i="6"/>
  <c r="A23" i="6"/>
  <c r="E22" i="6"/>
  <c r="D22" i="6"/>
  <c r="C22" i="6"/>
  <c r="B22" i="6"/>
  <c r="A22" i="6"/>
  <c r="E21" i="6"/>
  <c r="D21" i="6"/>
  <c r="C21" i="6"/>
  <c r="B21" i="6"/>
  <c r="A21" i="6"/>
  <c r="E20" i="6"/>
  <c r="D20" i="6"/>
  <c r="C20" i="6"/>
  <c r="B20" i="6"/>
  <c r="A20" i="6"/>
  <c r="E19" i="6"/>
  <c r="D19" i="6"/>
  <c r="C19" i="6"/>
  <c r="B19" i="6"/>
  <c r="A19" i="6"/>
  <c r="E18" i="6"/>
  <c r="D18" i="6"/>
  <c r="C18" i="6"/>
  <c r="B18" i="6"/>
  <c r="A18" i="6"/>
  <c r="E17" i="6"/>
  <c r="D17" i="6"/>
  <c r="C17" i="6"/>
  <c r="B17" i="6"/>
  <c r="A17" i="6"/>
  <c r="E16" i="6"/>
  <c r="D16" i="6"/>
  <c r="C16" i="6"/>
  <c r="B16" i="6"/>
  <c r="A16" i="6"/>
  <c r="E15" i="6"/>
  <c r="D15" i="6"/>
  <c r="C15" i="6"/>
  <c r="B15" i="6"/>
  <c r="A15" i="6"/>
  <c r="E14" i="6"/>
  <c r="D14" i="6"/>
  <c r="C14" i="6"/>
  <c r="B14" i="6"/>
  <c r="A14" i="6"/>
  <c r="E13" i="6"/>
  <c r="D13" i="6"/>
  <c r="C13" i="6"/>
  <c r="B13" i="6"/>
  <c r="A13" i="6"/>
  <c r="E12" i="6"/>
  <c r="D12" i="6"/>
  <c r="C12" i="6"/>
  <c r="B12" i="6"/>
  <c r="A12" i="6"/>
  <c r="E11" i="6"/>
  <c r="D11" i="6"/>
  <c r="C11" i="6"/>
  <c r="B11" i="6"/>
  <c r="A11" i="6"/>
  <c r="E10" i="6"/>
  <c r="D10" i="6"/>
  <c r="C10" i="6"/>
  <c r="B10" i="6"/>
  <c r="A10" i="6"/>
  <c r="E9" i="6"/>
  <c r="D9" i="6"/>
  <c r="C9" i="6"/>
  <c r="B9" i="6"/>
  <c r="A9" i="6"/>
  <c r="B6" i="6"/>
  <c r="B6" i="4"/>
  <c r="B5" i="6"/>
  <c r="B4" i="6"/>
  <c r="E27" i="5"/>
  <c r="D26" i="5"/>
  <c r="D25" i="5"/>
  <c r="D24" i="5"/>
  <c r="D20" i="5"/>
  <c r="F20" i="5"/>
  <c r="B20" i="5"/>
  <c r="A20" i="5"/>
  <c r="D19" i="5"/>
  <c r="F19" i="5"/>
  <c r="B19" i="5"/>
  <c r="A19" i="5"/>
  <c r="D18" i="5"/>
  <c r="B18" i="5"/>
  <c r="A18" i="5"/>
  <c r="D17" i="5"/>
  <c r="B17" i="5"/>
  <c r="A17" i="5"/>
  <c r="D16" i="5"/>
  <c r="B16" i="5"/>
  <c r="A16" i="5"/>
  <c r="D15" i="5"/>
  <c r="B15" i="5"/>
  <c r="A15" i="5"/>
  <c r="D14" i="5"/>
  <c r="B14" i="5"/>
  <c r="A14" i="5"/>
  <c r="D13" i="5"/>
  <c r="B13" i="5"/>
  <c r="A13" i="5"/>
  <c r="D12" i="5"/>
  <c r="B12" i="5"/>
  <c r="A12" i="5"/>
  <c r="D11" i="5"/>
  <c r="B11" i="5"/>
  <c r="A11" i="5"/>
  <c r="D10" i="5"/>
  <c r="B10" i="5"/>
  <c r="A10" i="5"/>
  <c r="D9" i="5"/>
  <c r="B9" i="5"/>
  <c r="A9" i="5"/>
  <c r="D8" i="5"/>
  <c r="B8" i="5"/>
  <c r="A8" i="5"/>
  <c r="D7" i="5"/>
  <c r="B7" i="5"/>
  <c r="A7" i="5"/>
  <c r="D6" i="5"/>
  <c r="B6" i="5"/>
  <c r="A6" i="5"/>
  <c r="D5" i="5"/>
  <c r="B5" i="5"/>
  <c r="A5" i="5"/>
  <c r="A60" i="4"/>
  <c r="H49" i="4"/>
  <c r="H51" i="4"/>
  <c r="H54" i="4"/>
  <c r="E48" i="4"/>
  <c r="F48" i="4"/>
  <c r="D48" i="4"/>
  <c r="C48" i="4"/>
  <c r="B48" i="4"/>
  <c r="E47" i="4"/>
  <c r="F47" i="4"/>
  <c r="D47" i="4"/>
  <c r="C47" i="4"/>
  <c r="B47" i="4"/>
  <c r="E46" i="4"/>
  <c r="F46" i="4"/>
  <c r="D46" i="4"/>
  <c r="C46" i="4"/>
  <c r="B46" i="4"/>
  <c r="E45" i="4"/>
  <c r="F45" i="4"/>
  <c r="D45" i="4"/>
  <c r="C45" i="4"/>
  <c r="B45" i="4"/>
  <c r="E44" i="4"/>
  <c r="F44" i="4"/>
  <c r="D44" i="4"/>
  <c r="C44" i="4"/>
  <c r="B44" i="4"/>
  <c r="E43" i="4"/>
  <c r="F43" i="4"/>
  <c r="D43" i="4"/>
  <c r="C43" i="4"/>
  <c r="B43" i="4"/>
  <c r="E42" i="4"/>
  <c r="F42" i="4"/>
  <c r="D42" i="4"/>
  <c r="C42" i="4"/>
  <c r="B42" i="4"/>
  <c r="E41" i="4"/>
  <c r="F41" i="4"/>
  <c r="D41" i="4"/>
  <c r="C41" i="4"/>
  <c r="B41" i="4"/>
  <c r="E40" i="4"/>
  <c r="F40" i="4"/>
  <c r="D40" i="4"/>
  <c r="C40" i="4"/>
  <c r="B40" i="4"/>
  <c r="E39" i="4"/>
  <c r="F39" i="4"/>
  <c r="D39" i="4"/>
  <c r="C39" i="4"/>
  <c r="B39" i="4"/>
  <c r="E38" i="4"/>
  <c r="F38" i="4"/>
  <c r="D38" i="4"/>
  <c r="C38" i="4"/>
  <c r="B38" i="4"/>
  <c r="E37" i="4"/>
  <c r="F37" i="4"/>
  <c r="D37" i="4"/>
  <c r="C37" i="4"/>
  <c r="B37" i="4"/>
  <c r="C36" i="4"/>
  <c r="B36" i="4"/>
  <c r="C35" i="4"/>
  <c r="B35" i="4"/>
  <c r="C34" i="4"/>
  <c r="B34" i="4"/>
  <c r="C33" i="4"/>
  <c r="B33" i="4"/>
  <c r="B28" i="4"/>
  <c r="A22" i="4"/>
  <c r="A21" i="4"/>
  <c r="A20" i="4"/>
  <c r="A19" i="4"/>
  <c r="A18" i="4"/>
  <c r="A17" i="4"/>
  <c r="A16" i="4"/>
  <c r="A15" i="4"/>
  <c r="A14" i="4"/>
  <c r="A13" i="4"/>
  <c r="A12" i="4"/>
  <c r="B25" i="1"/>
  <c r="D28" i="5"/>
  <c r="E20" i="5"/>
  <c r="E19" i="5"/>
  <c r="E18" i="5"/>
  <c r="F18" i="5"/>
  <c r="E17" i="5"/>
  <c r="F17" i="5"/>
  <c r="E16" i="5"/>
  <c r="F16" i="5"/>
  <c r="E15" i="5"/>
  <c r="F15" i="5"/>
  <c r="E14" i="5"/>
  <c r="F14" i="5"/>
  <c r="E13" i="5"/>
  <c r="F13" i="5"/>
  <c r="E12" i="5"/>
  <c r="F12" i="5"/>
  <c r="E11" i="5"/>
  <c r="F11" i="5"/>
  <c r="E10" i="5"/>
  <c r="F10" i="5"/>
  <c r="E9" i="5"/>
  <c r="F9" i="5"/>
  <c r="E8" i="5"/>
  <c r="F8" i="5"/>
  <c r="E7" i="5"/>
  <c r="F7" i="5"/>
  <c r="E6" i="5"/>
  <c r="F6" i="5"/>
  <c r="E5" i="5"/>
  <c r="F5" i="5"/>
  <c r="H55" i="4"/>
  <c r="H56" i="4"/>
  <c r="H57" i="4"/>
  <c r="H58" i="4"/>
</calcChain>
</file>

<file path=xl/sharedStrings.xml><?xml version="1.0" encoding="utf-8"?>
<sst xmlns="http://schemas.openxmlformats.org/spreadsheetml/2006/main" count="429" uniqueCount="318">
  <si>
    <t>Ryerson — Services &amp; Solutions Pricing Model v3</t>
  </si>
  <si>
    <t>PRIVATE INTERNAL. Excel and Google Sheets compatible. Never send this file to a client.</t>
  </si>
  <si>
    <t>Tab</t>
  </si>
  <si>
    <t>Name</t>
  </si>
  <si>
    <t>Purpose</t>
  </si>
  <si>
    <t>How to use</t>
  </si>
  <si>
    <t>1</t>
  </si>
  <si>
    <t>Product Catalogue</t>
  </si>
  <si>
    <t>Every product and standalone phase, with base fee and which drivers move it.</t>
  </si>
  <si>
    <t>Reference</t>
  </si>
  <si>
    <t>2</t>
  </si>
  <si>
    <t>Complexity Drivers</t>
  </si>
  <si>
    <t>Objective, verifiable inputs and their weights. The anti-gaming layer.</t>
  </si>
  <si>
    <t>3</t>
  </si>
  <si>
    <t>Quote Calculator</t>
  </si>
  <si>
    <t>**Work here.** Enter client drivers once; every selected product reprices.</t>
  </si>
  <si>
    <t>Work here</t>
  </si>
  <si>
    <t>4</t>
  </si>
  <si>
    <t>Unit Economics</t>
  </si>
  <si>
    <t>Delivery cost and margin per product. Validate rates before quoting.</t>
  </si>
  <si>
    <t>Validate</t>
  </si>
  <si>
    <t>5</t>
  </si>
  <si>
    <t>Client Quote</t>
  </si>
  <si>
    <t>Print view. Export to PDF. No cost, margin, or driver weights visible.</t>
  </si>
  <si>
    <t>Export only</t>
  </si>
  <si>
    <t>6</t>
  </si>
  <si>
    <t>Controls</t>
  </si>
  <si>
    <t>Margin floors, verification rules, IP boundary. Check before sending.</t>
  </si>
  <si>
    <t>Check before send</t>
  </si>
  <si>
    <t>Why one workbook and not one per product</t>
  </si>
  <si>
    <t>• Separate workbooks drift. The rate card, the complexity weights, and the margin floors must exist once.</t>
  </si>
  <si>
    <t>• The client never receives this file. Tab 5 is a print view; export it to PDF and send that.</t>
  </si>
  <si>
    <t>• Amber cells are inputs. Everything else is a formula. Overtyping a formula breaks the Controls checks.</t>
  </si>
  <si>
    <t>Why the drivers are what they are</t>
  </si>
  <si>
    <t>• Every driver is externally verifiable or observable during discovery. A client cannot understate headcount or entity count without it surfacing.</t>
  </si>
  <si>
    <t>• Self-reported subjective inputs (maturity, ambition, readiness) are deliberately excluded from price. They appear only as a pre-work trigger.</t>
  </si>
  <si>
    <t>• The Frame stage verifies drivers before any fixed price is locked. Quotes issued before Frame are indicative only.</t>
  </si>
  <si>
    <t>QUOTE GENERATOR</t>
  </si>
  <si>
    <t>Paste the hosted generator URL here once, then use the link below from any device.</t>
  </si>
  <si>
    <t>Generator URL</t>
  </si>
  <si>
    <t>https://REPLACE-ME.example.com/Ryerson_Quote_Generator.html</t>
  </si>
  <si>
    <t>Open it</t>
  </si>
  <si>
    <t>• Tapping the link on a phone opens it in Safari or Chrome, which is the only way it will run.</t>
  </si>
  <si>
    <t>• A link to a file saved on the device will not work. iOS opens local HTML in a preview that cannot run the tool.</t>
  </si>
  <si>
    <t>• See HOWTO_Host_The_Generator.md for a phone-only way to publish it.</t>
  </si>
  <si>
    <t>Each phase stands alone and carries its own price. Sensitivity shows how much complexity moves the fee.</t>
  </si>
  <si>
    <t>ID</t>
  </si>
  <si>
    <t>Line</t>
  </si>
  <si>
    <t>Product / Phase</t>
  </si>
  <si>
    <t>Decision or outcome it delivers</t>
  </si>
  <si>
    <t>Duration</t>
  </si>
  <si>
    <t>Base fee</t>
  </si>
  <si>
    <t>Complexity sensitivity</t>
  </si>
  <si>
    <t>Basis</t>
  </si>
  <si>
    <t>Status</t>
  </si>
  <si>
    <t>F01</t>
  </si>
  <si>
    <t>Entry</t>
  </si>
  <si>
    <t>FRAME — Executive Session</t>
  </si>
  <si>
    <t>Whether to scope at all. Verifies drivers for later fixed pricing.</t>
  </si>
  <si>
    <t>0.5–1 day</t>
  </si>
  <si>
    <t>Fixed</t>
  </si>
  <si>
    <t>ACTIVE</t>
  </si>
  <si>
    <t>Q00</t>
  </si>
  <si>
    <t>Q2C</t>
  </si>
  <si>
    <t>Q2C Phase 0 — Business Operations Analysis</t>
  </si>
  <si>
    <t>Current state, BizApp inventory, schema, risk, readiness verdict, tier recommendation.</t>
  </si>
  <si>
    <t>3–6 weeks</t>
  </si>
  <si>
    <t>Driver-based</t>
  </si>
  <si>
    <t>Q01</t>
  </si>
  <si>
    <t>Q2C Standardize &amp; Consolidate</t>
  </si>
  <si>
    <t>Standardised processes and consolidated data under one system of record.</t>
  </si>
  <si>
    <t>4–8 weeks</t>
  </si>
  <si>
    <t>Q02</t>
  </si>
  <si>
    <t>Q2C Process Improvements &amp; Integrations</t>
  </si>
  <si>
    <t>Gaps filled, integrations designed and delivered, schema stable.</t>
  </si>
  <si>
    <t>6–12 weeks</t>
  </si>
  <si>
    <t>Q03</t>
  </si>
  <si>
    <t>Q2C System of Systems Implementation</t>
  </si>
  <si>
    <t>Event-driven architecture, ERP/CLM/middleware, automated compliance.</t>
  </si>
  <si>
    <t>12–24 weeks</t>
  </si>
  <si>
    <t>Q04</t>
  </si>
  <si>
    <t>Q2C Change Management &amp; Training</t>
  </si>
  <si>
    <t>Adoption to steady state, role-based training, SMARTER goals for next wave.</t>
  </si>
  <si>
    <t>A01</t>
  </si>
  <si>
    <t>AI Ops</t>
  </si>
  <si>
    <t>AI Operations MAP</t>
  </si>
  <si>
    <t>Operating inventory: where AI touches consequential decisions.</t>
  </si>
  <si>
    <t>3–5 weeks</t>
  </si>
  <si>
    <t>A02</t>
  </si>
  <si>
    <t>AI Operations DESIGN</t>
  </si>
  <si>
    <t>Capacity model and a scale, hold, or redesign call per workflow.</t>
  </si>
  <si>
    <t>5–8 weeks</t>
  </si>
  <si>
    <t>A03</t>
  </si>
  <si>
    <t>AI Operations PROVE</t>
  </si>
  <si>
    <t>One bounded workflow instrumented and measured against baseline.</t>
  </si>
  <si>
    <t>8–16 weeks</t>
  </si>
  <si>
    <t>S01</t>
  </si>
  <si>
    <t>Support</t>
  </si>
  <si>
    <t>STEWARD — Ongoing Capacity Review</t>
  </si>
  <si>
    <t>Monthly capacity review as volume, tooling, and risk change.</t>
  </si>
  <si>
    <t>Monthly</t>
  </si>
  <si>
    <t>Monthly retainer</t>
  </si>
  <si>
    <t>S02</t>
  </si>
  <si>
    <t>Hypercare (per wave)</t>
  </si>
  <si>
    <t>Elevated support for 2–4 weeks after a go-live.</t>
  </si>
  <si>
    <t>2–4 weeks</t>
  </si>
  <si>
    <t>Fixed per wave</t>
  </si>
  <si>
    <t>X01</t>
  </si>
  <si>
    <t>Add-on</t>
  </si>
  <si>
    <t>Modernisation Education Pre-Work</t>
  </si>
  <si>
    <t>Brings a low-readiness client to a state where analysis is possible.</t>
  </si>
  <si>
    <t>1–3 weeks</t>
  </si>
  <si>
    <t>Trigger-based</t>
  </si>
  <si>
    <t>X02</t>
  </si>
  <si>
    <t>Executive or Board Briefing</t>
  </si>
  <si>
    <t>Leadership session on findings.</t>
  </si>
  <si>
    <t>0.5 day</t>
  </si>
  <si>
    <t>X03</t>
  </si>
  <si>
    <t>Operating Model Handover</t>
  </si>
  <si>
    <t>Client team trained to run the discipline without us.</t>
  </si>
  <si>
    <t>2–3 weeks</t>
  </si>
  <si>
    <t>P01</t>
  </si>
  <si>
    <t>Product</t>
  </si>
  <si>
    <t>Capacity Calculator (licence)</t>
  </si>
  <si>
    <t>Self-serve capacity sizing.</t>
  </si>
  <si>
    <t>Annual</t>
  </si>
  <si>
    <t>Subscription</t>
  </si>
  <si>
    <t>NOT BUILT</t>
  </si>
  <si>
    <t>P02</t>
  </si>
  <si>
    <t>Benchmark Access</t>
  </si>
  <si>
    <t>Anonymised comparison against peer cohort.</t>
  </si>
  <si>
    <t>Reading the sensitivity column</t>
  </si>
  <si>
    <t>• 1.00 means the complexity multiplier applies in full. 0.50 means half the multiplier's effect. 0.00 means a genuinely fixed price.</t>
  </si>
  <si>
    <t>• FRAME is near-fixed at 0.15 because a half-day is a half-day. It is priced to be an easy yes, not to earn.</t>
  </si>
  <si>
    <t>• System of Systems carries 1.30 because integration count compounds cost faster than headcount does.</t>
  </si>
  <si>
    <t>• Executive Briefing is 0.00. A briefing for a 60-person company and a 6,000-person company is the same half-day.</t>
  </si>
  <si>
    <t>Objective and verifiable. Nothing here relies on client self-assessment. Weights are inputs; verification method is not optional.</t>
  </si>
  <si>
    <t>Driver</t>
  </si>
  <si>
    <t>Unit</t>
  </si>
  <si>
    <t>Baseline</t>
  </si>
  <si>
    <t>Weight</t>
  </si>
  <si>
    <t>Cap</t>
  </si>
  <si>
    <t>How it is verified</t>
  </si>
  <si>
    <t>Why it drives cost</t>
  </si>
  <si>
    <t>Employees (FTE)</t>
  </si>
  <si>
    <t>headcount</t>
  </si>
  <si>
    <t>Public filings, LinkedIn, payroll count confirmed at Frame</t>
  </si>
  <si>
    <t>Stakeholders to interview, processes to map, training population</t>
  </si>
  <si>
    <t>Legal entities / business units</t>
  </si>
  <si>
    <t>count</t>
  </si>
  <si>
    <t>Corporate registry, org chart confirmed at Frame</t>
  </si>
  <si>
    <t>Each entity carries its own process variants and data model</t>
  </si>
  <si>
    <t>Countries of operation</t>
  </si>
  <si>
    <t>Public presence, confirmed at Frame</t>
  </si>
  <si>
    <t>Regulatory variance, language, time zones</t>
  </si>
  <si>
    <t>Core business applications in scope</t>
  </si>
  <si>
    <t>System inventory produced during Frame; licence records</t>
  </si>
  <si>
    <t>Each app is an integration surface and a data schema</t>
  </si>
  <si>
    <t>CRM / ERP instances</t>
  </si>
  <si>
    <t>Admin console screenshot or licence record at Frame</t>
  </si>
  <si>
    <t>Consolidation effort scales with instance count, not user count</t>
  </si>
  <si>
    <t>Integrations in scope</t>
  </si>
  <si>
    <t>Integration inventory produced during Frame</t>
  </si>
  <si>
    <t>The single largest cost driver at Tier C</t>
  </si>
  <si>
    <t>Core data entities in scope</t>
  </si>
  <si>
    <t>Schema export or admin inventory at Frame</t>
  </si>
  <si>
    <t>Migration mapping and validation effort</t>
  </si>
  <si>
    <t>AI models or frameworks in production</t>
  </si>
  <si>
    <t>Application inventory and vendor contracts at Frame</t>
  </si>
  <si>
    <t>Each adds a verification surface and an evidence requirement</t>
  </si>
  <si>
    <t>Languages in scope</t>
  </si>
  <si>
    <t>Observable from public site and system config</t>
  </si>
  <si>
    <t>Every artifact, test script, and training asset multiplies</t>
  </si>
  <si>
    <t>Regulated or certified environment</t>
  </si>
  <si>
    <t>0 or 1</t>
  </si>
  <si>
    <t>Certification register, audit reports, contract terms</t>
  </si>
  <si>
    <t>Evidence standards, audit trail, sign-off depth</t>
  </si>
  <si>
    <t>Annual transactions through the process</t>
  </si>
  <si>
    <t>System report exported at Frame</t>
  </si>
  <si>
    <t>Sampling depth and validation volume</t>
  </si>
  <si>
    <t>Anti-gaming design</t>
  </si>
  <si>
    <t>• Every driver is externally verifiable or produced as a Frame deliverable. A client who understates entity count creates a discrepancy visible in the org chart.</t>
  </si>
  <si>
    <t>• No driver is a self-rating. Maturity, ambition, urgency, and readiness never touch the price. Readiness triggers pre-work as a separate line, not a multiplier.</t>
  </si>
  <si>
    <t>• Caps prevent a single extreme driver from dominating. A 40,000-person company does not cost 160 times a 250-person company.</t>
  </si>
  <si>
    <t>• Understated drivers discovered after signature trigger a change order at the same rate card. State this in the SOW, not after.</t>
  </si>
  <si>
    <t>Enter client drivers once. Select products. Everything reprices.</t>
  </si>
  <si>
    <t>CLIENT</t>
  </si>
  <si>
    <t>CLIENT TAX</t>
  </si>
  <si>
    <t>Client / opportunity</t>
  </si>
  <si>
    <t>Shawn Hunter</t>
  </si>
  <si>
    <t>Province / territory</t>
  </si>
  <si>
    <t>Date issued</t>
  </si>
  <si>
    <t>GST/HST registered?</t>
  </si>
  <si>
    <t>No</t>
  </si>
  <si>
    <t>Drivers verified at Frame?</t>
  </si>
  <si>
    <t>GST/HST rate</t>
  </si>
  <si>
    <t>Prepared by</t>
  </si>
  <si>
    <t>Alexander Ryerson</t>
  </si>
  <si>
    <t>Tax treatment</t>
  </si>
  <si>
    <t>DRIVERS — enter actual client values</t>
  </si>
  <si>
    <t>Client value</t>
  </si>
  <si>
    <t>Ratio</t>
  </si>
  <si>
    <t>Contribution</t>
  </si>
  <si>
    <t>Complexity index</t>
  </si>
  <si>
    <t>Bounded multiplier (0.75 to 3.00)</t>
  </si>
  <si>
    <t>PRE-WORK TRIGGER</t>
  </si>
  <si>
    <t>Readiness score from Phase 0 assessment (1–5). Leave blank pre-Frame.</t>
  </si>
  <si>
    <t>Modernisation education pre-work required?</t>
  </si>
  <si>
    <t>Pre-work is a separate line item, never a multiplier. Readiness must not silently inflate the base fee.</t>
  </si>
  <si>
    <t>PRODUCT SELECTION</t>
  </si>
  <si>
    <t>Include</t>
  </si>
  <si>
    <t>Sensitivity</t>
  </si>
  <si>
    <t>Effective multiplier</t>
  </si>
  <si>
    <t>Qty</t>
  </si>
  <si>
    <t>List price</t>
  </si>
  <si>
    <t>Discount %</t>
  </si>
  <si>
    <t>Line total</t>
  </si>
  <si>
    <t>Yes</t>
  </si>
  <si>
    <t>Gross scope value</t>
  </si>
  <si>
    <t>NET QUOTE</t>
  </si>
  <si>
    <t>MARGIN CHECK</t>
  </si>
  <si>
    <t>Estimated delivery days</t>
  </si>
  <si>
    <t>Blended cost per day</t>
  </si>
  <si>
    <t>Estimated delivery cost</t>
  </si>
  <si>
    <t>Gross margin</t>
  </si>
  <si>
    <t>Gross margin %</t>
  </si>
  <si>
    <t>Set Discount % per line to waive or reduce a phase. 100% waives it entirely and it still appears on the quote at no charge.</t>
  </si>
  <si>
    <t>Delivery days at BASELINE complexity. Rates are UNVALIDATED assumptions — confirm before quoting.</t>
  </si>
  <si>
    <t>Baseline days</t>
  </si>
  <si>
    <t>Baseline cost</t>
  </si>
  <si>
    <t>Baseline margin %</t>
  </si>
  <si>
    <t>ROLE COSTS</t>
  </si>
  <si>
    <t>Role</t>
  </si>
  <si>
    <t>Annual loaded cost</t>
  </si>
  <si>
    <t>Delivery days/year</t>
  </si>
  <si>
    <t>Cost per day</t>
  </si>
  <si>
    <t>Mix %</t>
  </si>
  <si>
    <t>Confidence</t>
  </si>
  <si>
    <t>Principal / executive lead</t>
  </si>
  <si>
    <t>UNVALIDATED</t>
  </si>
  <si>
    <t>Senior AI operations lead</t>
  </si>
  <si>
    <t>Analyst / delivery support</t>
  </si>
  <si>
    <t>Mix check (must be 100%)</t>
  </si>
  <si>
    <t>BLENDED COST PER DAY</t>
  </si>
  <si>
    <t>Proposed Engagement</t>
  </si>
  <si>
    <t>Print view. Export to PDF. Contains no cost, margin, driver weight, or rate data.</t>
  </si>
  <si>
    <t>Prepared for</t>
  </si>
  <si>
    <t>Phase</t>
  </si>
  <si>
    <t>What it delivers</t>
  </si>
  <si>
    <t>Sales Cost</t>
  </si>
  <si>
    <t>Investment</t>
  </si>
  <si>
    <t>Subtotal</t>
  </si>
  <si>
    <t>Total investment</t>
  </si>
  <si>
    <t>Terms</t>
  </si>
  <si>
    <t>• Each phase stands alone. Each earns the next. Stop at any phase boundary.</t>
  </si>
  <si>
    <t>• Pricing reflects the operating scale confirmed during the Frame session. Material differences in entity count, application count, or integration scope discovered after signature are handled by change order at the same rates.</t>
  </si>
  <si>
    <t>• 50% due at phase kickoff, 50% at phase completion and sponsor sign-off.</t>
  </si>
  <si>
    <t>• If the operating cost we identify in Phase 0 does not exceed the proposed fee, the honest recommendation is to stop.</t>
  </si>
  <si>
    <t>CANADIAN GST/HST LOOKUP</t>
  </si>
  <si>
    <t>Check before any quote leaves. HARD controls are stop conditions.</t>
  </si>
  <si>
    <t>GST/HST rates current on 2026-08-20. Verify current rules before issuing: https://www.canada.ca/en/revenue-agency/services/tax/businesses/topics/gst-hst-businesses/charge-collect-which-rate/calculator.html</t>
  </si>
  <si>
    <t>Control</t>
  </si>
  <si>
    <t>Where</t>
  </si>
  <si>
    <t>Rule</t>
  </si>
  <si>
    <t>Type</t>
  </si>
  <si>
    <t>Tax type</t>
  </si>
  <si>
    <t>Rate</t>
  </si>
  <si>
    <t>IMPORTANT</t>
  </si>
  <si>
    <t>C01</t>
  </si>
  <si>
    <t>Gross margin at or above 45%</t>
  </si>
  <si>
    <t>Written rationale below 45%. Decline below 35%.</t>
  </si>
  <si>
    <t>HARD</t>
  </si>
  <si>
    <t>Alberta</t>
  </si>
  <si>
    <t>GST</t>
  </si>
  <si>
    <t>BC PST, Manitoba RST, Quebec QST and Saskatchewan PST are separate regimes. They are not auto-added merely from province selection; confirm registration and service-taxability obligations separately.</t>
  </si>
  <si>
    <t>C02</t>
  </si>
  <si>
    <t>Drivers verified at Frame</t>
  </si>
  <si>
    <t>Unverified drivers make the quote indicative only. Never issue a fixed price on unverified inputs.</t>
  </si>
  <si>
    <t>British Columbia</t>
  </si>
  <si>
    <t>C03</t>
  </si>
  <si>
    <t>Role mix sums to 100%</t>
  </si>
  <si>
    <t>Blended cost is wrong otherwise</t>
  </si>
  <si>
    <t>Manitoba</t>
  </si>
  <si>
    <t>C04</t>
  </si>
  <si>
    <t>Rates validated against actual delivery</t>
  </si>
  <si>
    <t>All three roles currently UNVALIDATED</t>
  </si>
  <si>
    <t>New Brunswick</t>
  </si>
  <si>
    <t>HST</t>
  </si>
  <si>
    <t>C05</t>
  </si>
  <si>
    <t>No product lines quoted</t>
  </si>
  <si>
    <t>Capacity Calculator and Benchmark are NOT BUILT</t>
  </si>
  <si>
    <t>Newfoundland and Labrador</t>
  </si>
  <si>
    <t>C06</t>
  </si>
  <si>
    <t>Client Quote contains no cost or weight data</t>
  </si>
  <si>
    <t>Export the print view only. Never send the workbook.</t>
  </si>
  <si>
    <t>Northwest Territories</t>
  </si>
  <si>
    <t>C07</t>
  </si>
  <si>
    <t>Readiness handled as pre-work, not multiplier</t>
  </si>
  <si>
    <t>Recommend pre-work when readiness is 2 or lower. It may be quoted separately and must not block the current quote.</t>
  </si>
  <si>
    <t>SOFT</t>
  </si>
  <si>
    <t>Nova Scotia</t>
  </si>
  <si>
    <t>C08</t>
  </si>
  <si>
    <t>Discount within 10%</t>
  </si>
  <si>
    <t>Above 10% requires recorded rationale</t>
  </si>
  <si>
    <t>Nunavut</t>
  </si>
  <si>
    <t>C09</t>
  </si>
  <si>
    <t>Complexity multiplier within 0.75–3.00</t>
  </si>
  <si>
    <t>Outside the band means a driver is wrong or the engagement is not standard</t>
  </si>
  <si>
    <t>Ontario</t>
  </si>
  <si>
    <t>Prince Edward Island</t>
  </si>
  <si>
    <t>IP boundary</t>
  </si>
  <si>
    <t>Quebec</t>
  </si>
  <si>
    <t>May be shared</t>
  </si>
  <si>
    <t>Never shared</t>
  </si>
  <si>
    <t>Saskatchewan</t>
  </si>
  <si>
    <t>Phase names, what each delivers, duration, total investment, terms</t>
  </si>
  <si>
    <t>Driver weights, complexity multiplier, rate card, delivery days, margins, this workbook</t>
  </si>
  <si>
    <t>Yukon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</si>
</sst>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x"/>
    <numFmt numFmtId="165" formatCode="mmm\ d&quot;, &quot;yyyy"/>
    <numFmt numFmtId="166" formatCode="0.000"/>
    <numFmt numFmtId="167" formatCode="0.0%"/>
    <numFmt numFmtId="168" formatCode="m/d/yyyy"/>
    <numFmt numFmtId="169" formatCode="\$#,##0.00;[Red]&quot;-$&quot;#,##0.00"/>
  </numFmts>
  <fonts count="19" x14ac:knownFonts="1">
    <font>
      <sz val="10"/>
      <name val="Arial"/>
      <family val="2"/>
    </font>
    <font>
      <sz val="11"/>
      <color theme="1"/>
      <name val="Calibri"/>
      <charset val="1"/>
    </font>
    <font>
      <b/>
      <sz val="15"/>
      <color rgb="FF0D1B2A"/>
      <name val="Arial"/>
      <charset val="1"/>
    </font>
    <font>
      <i/>
      <sz val="10"/>
      <color rgb="FF2D6A4F"/>
      <name val="Arial"/>
      <charset val="1"/>
    </font>
    <font>
      <b/>
      <sz val="10"/>
      <color rgb="FFFFFFFF"/>
      <name val="Arial"/>
      <charset val="1"/>
    </font>
    <font>
      <sz val="10"/>
      <name val="Arial"/>
      <charset val="1"/>
    </font>
    <font>
      <b/>
      <sz val="10"/>
      <name val="Arial"/>
      <charset val="1"/>
    </font>
    <font>
      <b/>
      <sz val="12"/>
      <color rgb="FF0D1B2A"/>
      <name val="Arial"/>
      <charset val="1"/>
    </font>
    <font>
      <i/>
      <sz val="10"/>
      <color rgb="FF52606D"/>
      <name val="Arial"/>
      <charset val="1"/>
    </font>
    <font>
      <b/>
      <sz val="11"/>
      <color rgb="FF0F7C78"/>
      <name val="Arial"/>
      <charset val="1"/>
    </font>
    <font>
      <i/>
      <sz val="9"/>
      <color rgb="FF52606D"/>
      <name val="Arial"/>
      <charset val="1"/>
    </font>
    <font>
      <b/>
      <sz val="10"/>
      <color rgb="FFC88719"/>
      <name val="Arial"/>
      <charset val="1"/>
    </font>
    <font>
      <b/>
      <sz val="10"/>
      <color rgb="FFB23A48"/>
      <name val="Arial"/>
      <charset val="1"/>
    </font>
    <font>
      <b/>
      <sz val="11"/>
      <color rgb="FF0D1B2A"/>
      <name val="Arial"/>
      <charset val="1"/>
    </font>
    <font>
      <b/>
      <sz val="10"/>
      <color rgb="FF15202B"/>
      <name val="Arial"/>
      <charset val="1"/>
    </font>
    <font>
      <b/>
      <sz val="12"/>
      <color rgb="FF15202B"/>
      <name val="Arial"/>
      <charset val="1"/>
    </font>
    <font>
      <b/>
      <sz val="11"/>
      <color rgb="FF15202B"/>
      <name val="Calibri"/>
      <charset val="1"/>
    </font>
    <font>
      <b/>
      <sz val="11"/>
      <color rgb="FF0D1B2A"/>
      <name val="Calibri"/>
      <charset val="1"/>
    </font>
    <font>
      <b/>
      <sz val="11"/>
      <color rgb="FFFFFFFF"/>
      <name val="Calibri"/>
      <charset val="1"/>
    </font>
  </fonts>
  <fills count="7">
    <fill>
      <patternFill patternType="none"/>
    </fill>
    <fill>
      <patternFill patternType="gray125"/>
    </fill>
    <fill>
      <patternFill patternType="solid">
        <fgColor rgb="FF0D1B2A"/>
        <bgColor rgb="FF15202B"/>
      </patternFill>
    </fill>
    <fill>
      <patternFill patternType="solid">
        <fgColor rgb="FFFFF7E6"/>
        <bgColor rgb="FFFDF6E9"/>
      </patternFill>
    </fill>
    <fill>
      <patternFill patternType="solid">
        <fgColor rgb="FFE9F1EE"/>
        <bgColor rgb="FFFDF6E9"/>
      </patternFill>
    </fill>
    <fill>
      <patternFill patternType="solid">
        <fgColor rgb="FFC88719"/>
        <bgColor rgb="FFFF6600"/>
      </patternFill>
    </fill>
    <fill>
      <patternFill patternType="solid">
        <fgColor rgb="FFFDF6E9"/>
        <bgColor rgb="FFFFF7E6"/>
      </patternFill>
    </fill>
  </fills>
  <borders count="12">
    <border>
      <left/>
      <right/>
      <top/>
      <bottom/>
      <diagonal/>
    </border>
    <border>
      <left style="thin">
        <color rgb="FFB0B0B0"/>
      </left>
      <right style="thin">
        <color rgb="FFB0B0B0"/>
      </right>
      <top style="thin">
        <color rgb="FFB0B0B0"/>
      </top>
      <bottom style="thin">
        <color rgb="FFB0B0B0"/>
      </bottom>
      <diagonal/>
    </border>
    <border>
      <left/>
      <right/>
      <top style="medium">
        <color rgb="FF0D1B2A"/>
      </top>
      <bottom/>
      <diagonal/>
    </border>
    <border>
      <left style="thin">
        <color rgb="FFCFD8D5"/>
      </left>
      <right/>
      <top style="thin">
        <color rgb="FFCFD8D5"/>
      </top>
      <bottom/>
      <diagonal/>
    </border>
    <border>
      <left/>
      <right/>
      <top style="thin">
        <color rgb="FFCFD8D5"/>
      </top>
      <bottom/>
      <diagonal/>
    </border>
    <border>
      <left/>
      <right style="thin">
        <color rgb="FFCFD8D5"/>
      </right>
      <top style="thin">
        <color rgb="FFCFD8D5"/>
      </top>
      <bottom/>
      <diagonal/>
    </border>
    <border>
      <left style="thin">
        <color rgb="FFCFD8D5"/>
      </left>
      <right style="thin">
        <color rgb="FFCFD8D5"/>
      </right>
      <top/>
      <bottom/>
      <diagonal/>
    </border>
    <border>
      <left style="thin">
        <color rgb="FFCFD8D5"/>
      </left>
      <right/>
      <top/>
      <bottom/>
      <diagonal/>
    </border>
    <border>
      <left/>
      <right style="thin">
        <color rgb="FFCFD8D5"/>
      </right>
      <top/>
      <bottom/>
      <diagonal/>
    </border>
    <border>
      <left style="thin">
        <color rgb="FFCFD8D5"/>
      </left>
      <right/>
      <top/>
      <bottom style="thin">
        <color rgb="FFCFD8D5"/>
      </bottom>
      <diagonal/>
    </border>
    <border>
      <left/>
      <right/>
      <top/>
      <bottom style="thin">
        <color rgb="FFCFD8D5"/>
      </bottom>
      <diagonal/>
    </border>
    <border>
      <left/>
      <right style="thin">
        <color rgb="FFCFD8D5"/>
      </right>
      <top/>
      <bottom style="thin">
        <color rgb="FFCFD8D5"/>
      </bottom>
      <diagonal/>
    </border>
  </borders>
  <cellStyleXfs count="2">
    <xf numFmtId="0" fontId="0" fillId="0" borderId="0"/>
    <xf numFmtId="0" fontId="1" fillId="0" borderId="0"/>
  </cellStyleXfs>
  <cellXfs count="76">
    <xf numFmtId="0" fontId="0" fillId="0" borderId="0" xfId="0"/>
    <xf numFmtId="0" fontId="1" fillId="6" borderId="8" xfId="1" applyFont="1" applyFill="1" applyBorder="1" applyAlignment="1">
      <alignment wrapText="1"/>
    </xf>
    <xf numFmtId="0" fontId="18" fillId="5" borderId="8" xfId="1" applyFont="1" applyFill="1" applyBorder="1"/>
    <xf numFmtId="0" fontId="1" fillId="4" borderId="6" xfId="1" applyFont="1" applyFill="1" applyBorder="1" applyAlignment="1">
      <alignment wrapText="1"/>
    </xf>
    <xf numFmtId="0" fontId="18" fillId="2" borderId="3" xfId="1" applyFont="1" applyFill="1" applyBorder="1"/>
    <xf numFmtId="0" fontId="1" fillId="0" borderId="0" xfId="1" applyFont="1" applyBorder="1" applyAlignment="1">
      <alignment wrapText="1"/>
    </xf>
    <xf numFmtId="9" fontId="1" fillId="0" borderId="0" xfId="1" applyNumberFormat="1" applyFont="1" applyBorder="1"/>
    <xf numFmtId="0" fontId="0" fillId="0" borderId="0" xfId="0" applyBorder="1"/>
    <xf numFmtId="0" fontId="0" fillId="0" borderId="0" xfId="0" applyFont="1" applyBorder="1"/>
    <xf numFmtId="0" fontId="3" fillId="0" borderId="0" xfId="1" applyFont="1" applyBorder="1"/>
    <xf numFmtId="0" fontId="2" fillId="0" borderId="0" xfId="1" applyFont="1"/>
    <xf numFmtId="0" fontId="4" fillId="2" borderId="1" xfId="1" applyFont="1" applyFill="1" applyBorder="1" applyAlignment="1">
      <alignment horizontal="center" vertical="center" wrapText="1"/>
    </xf>
    <xf numFmtId="0" fontId="5" fillId="0" borderId="1" xfId="1" applyFont="1" applyBorder="1" applyAlignment="1">
      <alignment horizontal="center"/>
    </xf>
    <xf numFmtId="0" fontId="5" fillId="0" borderId="1" xfId="1" applyFont="1" applyBorder="1"/>
    <xf numFmtId="0" fontId="5" fillId="0" borderId="1" xfId="1" applyFont="1" applyBorder="1" applyAlignment="1">
      <alignment vertical="top" wrapText="1"/>
    </xf>
    <xf numFmtId="0" fontId="6" fillId="0" borderId="1" xfId="1" applyFont="1" applyBorder="1"/>
    <xf numFmtId="0" fontId="7" fillId="0" borderId="0" xfId="1" applyFont="1"/>
    <xf numFmtId="0" fontId="8" fillId="0" borderId="0" xfId="1" applyFont="1"/>
    <xf numFmtId="0" fontId="6" fillId="0" borderId="0" xfId="1" applyFont="1"/>
    <xf numFmtId="0" fontId="5" fillId="3" borderId="1" xfId="1" applyFont="1" applyFill="1" applyBorder="1"/>
    <xf numFmtId="0" fontId="9" fillId="0" borderId="1" xfId="1" applyFont="1" applyBorder="1"/>
    <xf numFmtId="0" fontId="5" fillId="0" borderId="0" xfId="1" applyFont="1"/>
    <xf numFmtId="3" fontId="5" fillId="3" borderId="1" xfId="1" applyNumberFormat="1" applyFont="1" applyFill="1" applyBorder="1" applyAlignment="1">
      <alignment wrapText="1"/>
    </xf>
    <xf numFmtId="164" fontId="5" fillId="3" borderId="1" xfId="1" applyNumberFormat="1" applyFont="1" applyFill="1" applyBorder="1" applyAlignment="1">
      <alignment wrapText="1"/>
    </xf>
    <xf numFmtId="3" fontId="5" fillId="3" borderId="1" xfId="1" applyNumberFormat="1" applyFont="1" applyFill="1" applyBorder="1" applyAlignment="1">
      <alignment horizontal="center"/>
    </xf>
    <xf numFmtId="2" fontId="5" fillId="3" borderId="1" xfId="1" applyNumberFormat="1" applyFont="1" applyFill="1" applyBorder="1"/>
    <xf numFmtId="164" fontId="5" fillId="3" borderId="1" xfId="1" applyNumberFormat="1" applyFont="1" applyFill="1" applyBorder="1" applyAlignment="1">
      <alignment horizontal="center"/>
    </xf>
    <xf numFmtId="165" fontId="5" fillId="3" borderId="1" xfId="1" applyNumberFormat="1" applyFont="1" applyFill="1" applyBorder="1"/>
    <xf numFmtId="9" fontId="1" fillId="0" borderId="0" xfId="1" applyNumberFormat="1" applyFont="1" applyBorder="1"/>
    <xf numFmtId="0" fontId="1" fillId="0" borderId="0" xfId="1" applyFont="1" applyBorder="1" applyAlignment="1">
      <alignment wrapText="1"/>
    </xf>
    <xf numFmtId="0" fontId="5" fillId="3" borderId="1" xfId="1" applyFont="1" applyFill="1" applyBorder="1" applyAlignment="1">
      <alignment horizontal="center"/>
    </xf>
    <xf numFmtId="3" fontId="5" fillId="0" borderId="1" xfId="1" applyNumberFormat="1" applyFont="1" applyBorder="1" applyAlignment="1">
      <alignment horizontal="center"/>
    </xf>
    <xf numFmtId="2" fontId="5" fillId="0" borderId="1" xfId="1" applyNumberFormat="1" applyFont="1" applyBorder="1"/>
    <xf numFmtId="2" fontId="5" fillId="0" borderId="1" xfId="1" applyNumberFormat="1" applyFont="1" applyBorder="1" applyAlignment="1">
      <alignment horizontal="center"/>
    </xf>
    <xf numFmtId="164" fontId="5" fillId="0" borderId="1" xfId="1" applyNumberFormat="1" applyFont="1" applyBorder="1" applyAlignment="1">
      <alignment horizontal="center"/>
    </xf>
    <xf numFmtId="166" fontId="5" fillId="0" borderId="1" xfId="1" applyNumberFormat="1" applyFont="1" applyBorder="1"/>
    <xf numFmtId="164" fontId="6" fillId="4" borderId="1" xfId="1" applyNumberFormat="1" applyFont="1" applyFill="1" applyBorder="1"/>
    <xf numFmtId="0" fontId="10" fillId="0" borderId="1" xfId="1" applyFont="1" applyBorder="1"/>
    <xf numFmtId="0" fontId="4" fillId="2" borderId="1" xfId="1" applyFont="1" applyFill="1" applyBorder="1" applyAlignment="1">
      <alignment horizontal="center" wrapText="1"/>
    </xf>
    <xf numFmtId="3" fontId="5" fillId="0" borderId="1" xfId="1" applyNumberFormat="1" applyFont="1" applyBorder="1"/>
    <xf numFmtId="164" fontId="5" fillId="0" borderId="1" xfId="1" applyNumberFormat="1" applyFont="1" applyBorder="1"/>
    <xf numFmtId="9" fontId="5" fillId="3" borderId="1" xfId="1" applyNumberFormat="1" applyFont="1" applyFill="1" applyBorder="1" applyAlignment="1">
      <alignment horizontal="center"/>
    </xf>
    <xf numFmtId="3" fontId="6" fillId="4" borderId="1" xfId="1" applyNumberFormat="1" applyFont="1" applyFill="1" applyBorder="1"/>
    <xf numFmtId="167" fontId="5" fillId="3" borderId="1" xfId="1" applyNumberFormat="1" applyFont="1" applyFill="1" applyBorder="1"/>
    <xf numFmtId="0" fontId="7" fillId="0" borderId="1" xfId="1" applyFont="1" applyBorder="1"/>
    <xf numFmtId="3" fontId="7" fillId="4" borderId="1" xfId="1" applyNumberFormat="1" applyFont="1" applyFill="1" applyBorder="1"/>
    <xf numFmtId="3" fontId="6" fillId="0" borderId="1" xfId="1" applyNumberFormat="1" applyFont="1" applyBorder="1"/>
    <xf numFmtId="167" fontId="6" fillId="0" borderId="1" xfId="1" applyNumberFormat="1" applyFont="1" applyBorder="1"/>
    <xf numFmtId="0" fontId="11" fillId="0" borderId="1" xfId="1" applyFont="1" applyBorder="1"/>
    <xf numFmtId="0" fontId="10" fillId="0" borderId="0" xfId="1" applyFont="1"/>
    <xf numFmtId="167" fontId="5" fillId="0" borderId="1" xfId="1" applyNumberFormat="1" applyFont="1" applyBorder="1"/>
    <xf numFmtId="3" fontId="5" fillId="3" borderId="1" xfId="1" applyNumberFormat="1" applyFont="1" applyFill="1" applyBorder="1"/>
    <xf numFmtId="0" fontId="12" fillId="0" borderId="1" xfId="1" applyFont="1" applyBorder="1"/>
    <xf numFmtId="0" fontId="13" fillId="0" borderId="1" xfId="1" applyFont="1" applyBorder="1"/>
    <xf numFmtId="3" fontId="13" fillId="4" borderId="1" xfId="1" applyNumberFormat="1" applyFont="1" applyFill="1" applyBorder="1"/>
    <xf numFmtId="0" fontId="4" fillId="2" borderId="1" xfId="1" applyFont="1" applyFill="1" applyBorder="1" applyAlignment="1">
      <alignment horizontal="center"/>
    </xf>
    <xf numFmtId="0" fontId="14" fillId="0" borderId="1" xfId="1" applyFont="1" applyBorder="1"/>
    <xf numFmtId="3" fontId="15" fillId="4" borderId="1" xfId="1" applyNumberFormat="1" applyFont="1" applyFill="1" applyBorder="1"/>
    <xf numFmtId="169" fontId="15" fillId="4" borderId="1" xfId="1" applyNumberFormat="1" applyFont="1" applyFill="1" applyBorder="1"/>
    <xf numFmtId="0" fontId="16" fillId="0" borderId="0" xfId="1" applyFont="1" applyBorder="1"/>
    <xf numFmtId="169" fontId="16" fillId="0" borderId="0" xfId="1" applyNumberFormat="1" applyFont="1" applyBorder="1"/>
    <xf numFmtId="0" fontId="17" fillId="4" borderId="2" xfId="1" applyFont="1" applyFill="1" applyBorder="1"/>
    <xf numFmtId="169" fontId="17" fillId="4" borderId="2" xfId="1" applyNumberFormat="1" applyFont="1" applyFill="1" applyBorder="1"/>
    <xf numFmtId="0" fontId="5" fillId="0" borderId="1" xfId="1" applyFont="1" applyBorder="1" applyAlignment="1">
      <alignment vertical="top" wrapText="1"/>
    </xf>
    <xf numFmtId="0" fontId="1" fillId="0" borderId="4" xfId="1" applyFont="1" applyBorder="1"/>
    <xf numFmtId="0" fontId="1" fillId="0" borderId="5" xfId="1" applyFont="1" applyBorder="1"/>
    <xf numFmtId="0" fontId="1" fillId="0" borderId="7" xfId="1" applyFont="1" applyBorder="1"/>
    <xf numFmtId="0" fontId="1" fillId="0" borderId="0" xfId="1" applyFont="1" applyBorder="1"/>
    <xf numFmtId="0" fontId="1" fillId="0" borderId="8" xfId="1" applyFont="1" applyBorder="1"/>
    <xf numFmtId="0" fontId="18" fillId="2" borderId="7" xfId="1" applyFont="1" applyFill="1" applyBorder="1"/>
    <xf numFmtId="0" fontId="18" fillId="2" borderId="0" xfId="1" applyFont="1" applyFill="1" applyBorder="1"/>
    <xf numFmtId="0" fontId="1" fillId="0" borderId="9" xfId="1" applyFont="1" applyBorder="1"/>
    <xf numFmtId="0" fontId="1" fillId="0" borderId="10" xfId="1" applyFont="1" applyBorder="1"/>
    <xf numFmtId="9" fontId="1" fillId="0" borderId="10" xfId="1" applyNumberFormat="1" applyFont="1" applyBorder="1"/>
    <xf numFmtId="0" fontId="1" fillId="0" borderId="11" xfId="1" applyFont="1" applyBorder="1"/>
    <xf numFmtId="168" fontId="5" fillId="0" borderId="1" xfId="1" applyNumberFormat="1" applyFont="1" applyBorder="1" applyAlignment="1">
      <alignment horizontal="left"/>
    </xf>
  </cellXfs>
  <cellStyles count="2">
    <cellStyle name="Normal" xfId="0" builtinId="0"/>
    <cellStyle name="Normal 2" xfId="1" xr:uid="{00000000-0005-0000-0000-000006000000}"/>
  </cellStyles>
  <dxfs count="8">
    <dxf>
      <font>
        <b/>
        <color rgb="FFB23A48"/>
        <name val="Arial"/>
        <charset val="1"/>
      </font>
      <fill>
        <patternFill>
          <bgColor rgb="FFF7E4E6"/>
        </patternFill>
      </fill>
    </dxf>
    <dxf>
      <font>
        <b/>
        <color rgb="FFB23A48"/>
        <name val="Arial"/>
        <charset val="1"/>
      </font>
      <fill>
        <patternFill>
          <bgColor rgb="FFF7E4E6"/>
        </patternFill>
      </fill>
    </dxf>
    <dxf>
      <font>
        <b/>
        <color rgb="FFB23A48"/>
        <name val="Arial"/>
        <charset val="1"/>
      </font>
      <fill>
        <patternFill>
          <bgColor rgb="FFF7E4E6"/>
        </patternFill>
      </fill>
    </dxf>
    <dxf>
      <font>
        <b/>
        <color rgb="FFC88719"/>
        <name val="Arial"/>
        <charset val="1"/>
      </font>
      <fill>
        <patternFill>
          <bgColor rgb="FFFDF2DF"/>
        </patternFill>
      </fill>
    </dxf>
    <dxf>
      <font>
        <b/>
        <color rgb="FF2D6A4F"/>
        <name val="Arial"/>
        <charset val="1"/>
      </font>
      <fill>
        <patternFill>
          <bgColor rgb="FFE9F1EE"/>
        </patternFill>
      </fill>
    </dxf>
    <dxf>
      <font>
        <b/>
        <color rgb="FFB23A48"/>
        <name val="Arial"/>
        <charset val="1"/>
      </font>
      <fill>
        <patternFill>
          <bgColor rgb="FFF7E4E6"/>
        </patternFill>
      </fill>
    </dxf>
    <dxf>
      <font>
        <b/>
        <color rgb="FFC88719"/>
        <name val="Arial"/>
        <charset val="1"/>
      </font>
      <fill>
        <patternFill>
          <bgColor rgb="FFFDF2DF"/>
        </patternFill>
      </fill>
    </dxf>
    <dxf>
      <font>
        <b/>
        <color rgb="FFB23A48"/>
        <name val="Arial"/>
        <charset val="1"/>
      </font>
      <fill>
        <patternFill>
          <bgColor rgb="FFF7E4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C78"/>
      <rgbColor rgb="FFB0B0B0"/>
      <rgbColor rgb="FF808080"/>
      <rgbColor rgb="FF9999FF"/>
      <rgbColor rgb="FFB23A48"/>
      <rgbColor rgb="FFFFF7E6"/>
      <rgbColor rgb="FFE9F1EE"/>
      <rgbColor rgb="FF660066"/>
      <rgbColor rgb="FFFF8080"/>
      <rgbColor rgb="FF0066CC"/>
      <rgbColor rgb="FFCFD8D5"/>
      <rgbColor rgb="FF000080"/>
      <rgbColor rgb="FFFF00FF"/>
      <rgbColor rgb="FFFFFF00"/>
      <rgbColor rgb="FF00FFFF"/>
      <rgbColor rgb="FF800080"/>
      <rgbColor rgb="FF800000"/>
      <rgbColor rgb="FF2D6A4F"/>
      <rgbColor rgb="FF0000FF"/>
      <rgbColor rgb="FF00CCFF"/>
      <rgbColor rgb="FFFDF6E9"/>
      <rgbColor rgb="FFCCFFCC"/>
      <rgbColor rgb="FFFDF2DF"/>
      <rgbColor rgb="FF99CCFF"/>
      <rgbColor rgb="FFFF99CC"/>
      <rgbColor rgb="FFCC99FF"/>
      <rgbColor rgb="FFF7E4E6"/>
      <rgbColor rgb="FF3366FF"/>
      <rgbColor rgb="FF33CCCC"/>
      <rgbColor rgb="FF99CC00"/>
      <rgbColor rgb="FFFFCC00"/>
      <rgbColor rgb="FFC88719"/>
      <rgbColor rgb="FFFF6600"/>
      <rgbColor rgb="FF52606D"/>
      <rgbColor rgb="FF969696"/>
      <rgbColor rgb="FF003366"/>
      <rgbColor rgb="FF339966"/>
      <rgbColor rgb="FF0D1B2A"/>
      <rgbColor rgb="FF333300"/>
      <rgbColor rgb="FF993300"/>
      <rgbColor rgb="FF993366"/>
      <rgbColor rgb="FF333399"/>
      <rgbColor rgb="FF15202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showGridLines="0" zoomScaleNormal="100" workbookViewId="0"/>
  </sheetViews>
  <sheetFormatPr defaultColWidth="8.76171875" defaultRowHeight="12.75" x14ac:dyDescent="0.15"/>
  <cols>
    <col min="1" max="1" width="6.06640625" customWidth="1"/>
    <col min="2" max="2" width="22.11328125" customWidth="1"/>
    <col min="3" max="3" width="91.96875" customWidth="1"/>
    <col min="4" max="4" width="20.08984375" customWidth="1"/>
  </cols>
  <sheetData>
    <row r="1" spans="1:6" ht="18.75" customHeight="1" x14ac:dyDescent="0.2">
      <c r="A1" s="10" t="s">
        <v>0</v>
      </c>
    </row>
    <row r="2" spans="1:6" x14ac:dyDescent="0.15">
      <c r="A2" s="9" t="s">
        <v>1</v>
      </c>
      <c r="B2" s="9"/>
      <c r="C2" s="9"/>
      <c r="D2" s="9"/>
      <c r="E2" s="9"/>
      <c r="F2" s="9"/>
    </row>
    <row r="4" spans="1:6" x14ac:dyDescent="0.15">
      <c r="A4" s="11" t="s">
        <v>2</v>
      </c>
      <c r="B4" s="11" t="s">
        <v>3</v>
      </c>
      <c r="C4" s="11" t="s">
        <v>4</v>
      </c>
      <c r="D4" s="11" t="s">
        <v>5</v>
      </c>
    </row>
    <row r="5" spans="1:6" x14ac:dyDescent="0.15">
      <c r="A5" s="12" t="s">
        <v>6</v>
      </c>
      <c r="B5" s="13" t="s">
        <v>7</v>
      </c>
      <c r="C5" s="14" t="s">
        <v>8</v>
      </c>
      <c r="D5" s="13" t="s">
        <v>9</v>
      </c>
    </row>
    <row r="6" spans="1:6" x14ac:dyDescent="0.15">
      <c r="A6" s="12" t="s">
        <v>10</v>
      </c>
      <c r="B6" s="13" t="s">
        <v>11</v>
      </c>
      <c r="C6" s="14" t="s">
        <v>12</v>
      </c>
      <c r="D6" s="13" t="s">
        <v>9</v>
      </c>
    </row>
    <row r="7" spans="1:6" x14ac:dyDescent="0.15">
      <c r="A7" s="12" t="s">
        <v>13</v>
      </c>
      <c r="B7" s="13" t="s">
        <v>14</v>
      </c>
      <c r="C7" s="14" t="s">
        <v>15</v>
      </c>
      <c r="D7" s="13" t="s">
        <v>16</v>
      </c>
    </row>
    <row r="8" spans="1:6" x14ac:dyDescent="0.15">
      <c r="A8" s="12" t="s">
        <v>17</v>
      </c>
      <c r="B8" s="13" t="s">
        <v>18</v>
      </c>
      <c r="C8" s="14" t="s">
        <v>19</v>
      </c>
      <c r="D8" s="13" t="s">
        <v>20</v>
      </c>
    </row>
    <row r="9" spans="1:6" x14ac:dyDescent="0.15">
      <c r="A9" s="12" t="s">
        <v>21</v>
      </c>
      <c r="B9" s="13" t="s">
        <v>22</v>
      </c>
      <c r="C9" s="14" t="s">
        <v>23</v>
      </c>
      <c r="D9" s="13" t="s">
        <v>24</v>
      </c>
    </row>
    <row r="10" spans="1:6" x14ac:dyDescent="0.15">
      <c r="A10" s="12" t="s">
        <v>25</v>
      </c>
      <c r="B10" s="13" t="s">
        <v>26</v>
      </c>
      <c r="C10" s="14" t="s">
        <v>27</v>
      </c>
      <c r="D10" s="13" t="s">
        <v>28</v>
      </c>
    </row>
    <row r="12" spans="1:6" x14ac:dyDescent="0.15">
      <c r="A12" s="15" t="s">
        <v>29</v>
      </c>
    </row>
    <row r="13" spans="1:6" x14ac:dyDescent="0.15">
      <c r="A13" s="13" t="s">
        <v>30</v>
      </c>
    </row>
    <row r="14" spans="1:6" x14ac:dyDescent="0.15">
      <c r="A14" s="13" t="s">
        <v>31</v>
      </c>
    </row>
    <row r="15" spans="1:6" x14ac:dyDescent="0.15">
      <c r="A15" s="13" t="s">
        <v>32</v>
      </c>
    </row>
    <row r="17" spans="1:2" x14ac:dyDescent="0.15">
      <c r="A17" s="15" t="s">
        <v>33</v>
      </c>
    </row>
    <row r="18" spans="1:2" x14ac:dyDescent="0.15">
      <c r="A18" s="13" t="s">
        <v>34</v>
      </c>
    </row>
    <row r="19" spans="1:2" x14ac:dyDescent="0.15">
      <c r="A19" s="13" t="s">
        <v>35</v>
      </c>
    </row>
    <row r="20" spans="1:2" x14ac:dyDescent="0.15">
      <c r="A20" s="13" t="s">
        <v>36</v>
      </c>
    </row>
    <row r="22" spans="1:2" ht="14.25" x14ac:dyDescent="0.15">
      <c r="A22" s="16" t="s">
        <v>37</v>
      </c>
    </row>
    <row r="23" spans="1:2" x14ac:dyDescent="0.15">
      <c r="A23" s="17" t="s">
        <v>38</v>
      </c>
    </row>
    <row r="24" spans="1:2" x14ac:dyDescent="0.15">
      <c r="A24" s="18" t="s">
        <v>39</v>
      </c>
      <c r="B24" s="19" t="s">
        <v>40</v>
      </c>
    </row>
    <row r="25" spans="1:2" ht="13.5" x14ac:dyDescent="0.15">
      <c r="A25" s="18" t="s">
        <v>41</v>
      </c>
      <c r="B25" s="20" t="str">
        <f>HYPERLINK(B24,"▶  Open the Quote Generator")</f>
        <v>▶  Open the Quote Generator</v>
      </c>
    </row>
    <row r="27" spans="1:2" x14ac:dyDescent="0.15">
      <c r="A27" s="21" t="s">
        <v>42</v>
      </c>
    </row>
    <row r="28" spans="1:2" x14ac:dyDescent="0.15">
      <c r="A28" s="21" t="s">
        <v>43</v>
      </c>
    </row>
    <row r="29" spans="1:2" x14ac:dyDescent="0.15">
      <c r="A29" s="21" t="s">
        <v>44</v>
      </c>
    </row>
  </sheetData>
  <mergeCells count="1">
    <mergeCell ref="A2:F2"/>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zoomScaleNormal="100" workbookViewId="0"/>
  </sheetViews>
  <sheetFormatPr defaultColWidth="8.76171875" defaultRowHeight="12.75" x14ac:dyDescent="0.15"/>
  <cols>
    <col min="1" max="1" width="7.01171875" customWidth="1"/>
    <col min="2" max="2" width="14.0234375" customWidth="1"/>
    <col min="3" max="3" width="41.9375" customWidth="1"/>
    <col min="4" max="4" width="57.984375" customWidth="1"/>
    <col min="5" max="5" width="13.078125" customWidth="1"/>
    <col min="6" max="6" width="12" customWidth="1"/>
    <col min="7" max="7" width="14.96875" customWidth="1"/>
    <col min="8" max="8" width="20.08984375" customWidth="1"/>
    <col min="9" max="9" width="11.0546875" customWidth="1"/>
  </cols>
  <sheetData>
    <row r="1" spans="1:9" ht="18.75" customHeight="1" x14ac:dyDescent="0.2">
      <c r="A1" s="10" t="s">
        <v>7</v>
      </c>
    </row>
    <row r="2" spans="1:9" x14ac:dyDescent="0.15">
      <c r="A2" s="9" t="s">
        <v>45</v>
      </c>
      <c r="B2" s="9"/>
      <c r="C2" s="9"/>
      <c r="D2" s="9"/>
      <c r="E2" s="9"/>
      <c r="F2" s="9"/>
      <c r="G2" s="9"/>
      <c r="H2" s="9"/>
      <c r="I2" s="9"/>
    </row>
    <row r="4" spans="1:9" ht="24.75" customHeight="1" x14ac:dyDescent="0.15">
      <c r="A4" s="11" t="s">
        <v>46</v>
      </c>
      <c r="B4" s="11" t="s">
        <v>47</v>
      </c>
      <c r="C4" s="11" t="s">
        <v>48</v>
      </c>
      <c r="D4" s="11" t="s">
        <v>49</v>
      </c>
      <c r="E4" s="11" t="s">
        <v>50</v>
      </c>
      <c r="F4" s="11" t="s">
        <v>51</v>
      </c>
      <c r="G4" s="11" t="s">
        <v>52</v>
      </c>
      <c r="H4" s="11" t="s">
        <v>53</v>
      </c>
      <c r="I4" s="11" t="s">
        <v>54</v>
      </c>
    </row>
    <row r="5" spans="1:9" x14ac:dyDescent="0.15">
      <c r="A5" s="12" t="s">
        <v>55</v>
      </c>
      <c r="B5" s="12" t="s">
        <v>56</v>
      </c>
      <c r="C5" s="13" t="s">
        <v>57</v>
      </c>
      <c r="D5" s="14" t="s">
        <v>58</v>
      </c>
      <c r="E5" s="12" t="s">
        <v>59</v>
      </c>
      <c r="F5" s="22">
        <v>11000</v>
      </c>
      <c r="G5" s="23">
        <v>0.15</v>
      </c>
      <c r="H5" s="13" t="s">
        <v>60</v>
      </c>
      <c r="I5" s="12" t="s">
        <v>61</v>
      </c>
    </row>
    <row r="6" spans="1:9" ht="24.75" customHeight="1" x14ac:dyDescent="0.15">
      <c r="A6" s="12" t="s">
        <v>62</v>
      </c>
      <c r="B6" s="12" t="s">
        <v>63</v>
      </c>
      <c r="C6" s="13" t="s">
        <v>64</v>
      </c>
      <c r="D6" s="14" t="s">
        <v>65</v>
      </c>
      <c r="E6" s="12" t="s">
        <v>66</v>
      </c>
      <c r="F6" s="22">
        <v>5000</v>
      </c>
      <c r="G6" s="23">
        <v>1</v>
      </c>
      <c r="H6" s="13" t="s">
        <v>67</v>
      </c>
      <c r="I6" s="12" t="s">
        <v>61</v>
      </c>
    </row>
    <row r="7" spans="1:9" ht="24.75" customHeight="1" x14ac:dyDescent="0.15">
      <c r="A7" s="12" t="s">
        <v>68</v>
      </c>
      <c r="B7" s="12" t="s">
        <v>63</v>
      </c>
      <c r="C7" s="13" t="s">
        <v>69</v>
      </c>
      <c r="D7" s="14" t="s">
        <v>70</v>
      </c>
      <c r="E7" s="12" t="s">
        <v>71</v>
      </c>
      <c r="F7" s="22">
        <v>25000</v>
      </c>
      <c r="G7" s="23">
        <v>1</v>
      </c>
      <c r="H7" s="13" t="s">
        <v>67</v>
      </c>
      <c r="I7" s="12" t="s">
        <v>61</v>
      </c>
    </row>
    <row r="8" spans="1:9" x14ac:dyDescent="0.15">
      <c r="A8" s="12" t="s">
        <v>72</v>
      </c>
      <c r="B8" s="12" t="s">
        <v>63</v>
      </c>
      <c r="C8" s="13" t="s">
        <v>73</v>
      </c>
      <c r="D8" s="14" t="s">
        <v>74</v>
      </c>
      <c r="E8" s="12" t="s">
        <v>75</v>
      </c>
      <c r="F8" s="22">
        <v>35000</v>
      </c>
      <c r="G8" s="23">
        <v>1.1499999999999999</v>
      </c>
      <c r="H8" s="13" t="s">
        <v>67</v>
      </c>
      <c r="I8" s="12" t="s">
        <v>61</v>
      </c>
    </row>
    <row r="9" spans="1:9" ht="24.75" customHeight="1" x14ac:dyDescent="0.15">
      <c r="A9" s="12" t="s">
        <v>76</v>
      </c>
      <c r="B9" s="12" t="s">
        <v>63</v>
      </c>
      <c r="C9" s="13" t="s">
        <v>77</v>
      </c>
      <c r="D9" s="14" t="s">
        <v>78</v>
      </c>
      <c r="E9" s="12" t="s">
        <v>79</v>
      </c>
      <c r="F9" s="22">
        <v>50000</v>
      </c>
      <c r="G9" s="23">
        <v>1.3</v>
      </c>
      <c r="H9" s="13" t="s">
        <v>67</v>
      </c>
      <c r="I9" s="12" t="s">
        <v>61</v>
      </c>
    </row>
    <row r="10" spans="1:9" ht="24.75" customHeight="1" x14ac:dyDescent="0.15">
      <c r="A10" s="12" t="s">
        <v>80</v>
      </c>
      <c r="B10" s="12" t="s">
        <v>63</v>
      </c>
      <c r="C10" s="13" t="s">
        <v>81</v>
      </c>
      <c r="D10" s="14" t="s">
        <v>82</v>
      </c>
      <c r="E10" s="12" t="s">
        <v>66</v>
      </c>
      <c r="F10" s="22">
        <v>10000</v>
      </c>
      <c r="G10" s="23">
        <v>0.8</v>
      </c>
      <c r="H10" s="13" t="s">
        <v>67</v>
      </c>
      <c r="I10" s="12" t="s">
        <v>61</v>
      </c>
    </row>
    <row r="11" spans="1:9" x14ac:dyDescent="0.15">
      <c r="A11" s="12" t="s">
        <v>83</v>
      </c>
      <c r="B11" s="12" t="s">
        <v>84</v>
      </c>
      <c r="C11" s="13" t="s">
        <v>85</v>
      </c>
      <c r="D11" s="14" t="s">
        <v>86</v>
      </c>
      <c r="E11" s="12" t="s">
        <v>87</v>
      </c>
      <c r="F11" s="22">
        <v>42500</v>
      </c>
      <c r="G11" s="23">
        <v>1</v>
      </c>
      <c r="H11" s="13" t="s">
        <v>67</v>
      </c>
      <c r="I11" s="12" t="s">
        <v>61</v>
      </c>
    </row>
    <row r="12" spans="1:9" x14ac:dyDescent="0.15">
      <c r="A12" s="12" t="s">
        <v>88</v>
      </c>
      <c r="B12" s="12" t="s">
        <v>84</v>
      </c>
      <c r="C12" s="13" t="s">
        <v>89</v>
      </c>
      <c r="D12" s="14" t="s">
        <v>90</v>
      </c>
      <c r="E12" s="12" t="s">
        <v>91</v>
      </c>
      <c r="F12" s="22">
        <v>72500</v>
      </c>
      <c r="G12" s="23">
        <v>1</v>
      </c>
      <c r="H12" s="13" t="s">
        <v>67</v>
      </c>
      <c r="I12" s="12" t="s">
        <v>61</v>
      </c>
    </row>
    <row r="13" spans="1:9" x14ac:dyDescent="0.15">
      <c r="A13" s="12" t="s">
        <v>92</v>
      </c>
      <c r="B13" s="12" t="s">
        <v>84</v>
      </c>
      <c r="C13" s="13" t="s">
        <v>93</v>
      </c>
      <c r="D13" s="14" t="s">
        <v>94</v>
      </c>
      <c r="E13" s="12" t="s">
        <v>95</v>
      </c>
      <c r="F13" s="22">
        <v>130000</v>
      </c>
      <c r="G13" s="23">
        <v>1.1000000000000001</v>
      </c>
      <c r="H13" s="13" t="s">
        <v>67</v>
      </c>
      <c r="I13" s="12" t="s">
        <v>61</v>
      </c>
    </row>
    <row r="14" spans="1:9" x14ac:dyDescent="0.15">
      <c r="A14" s="12" t="s">
        <v>96</v>
      </c>
      <c r="B14" s="12" t="s">
        <v>97</v>
      </c>
      <c r="C14" s="13" t="s">
        <v>98</v>
      </c>
      <c r="D14" s="14" t="s">
        <v>99</v>
      </c>
      <c r="E14" s="12" t="s">
        <v>100</v>
      </c>
      <c r="F14" s="22">
        <v>9000</v>
      </c>
      <c r="G14" s="23">
        <v>0.5</v>
      </c>
      <c r="H14" s="13" t="s">
        <v>101</v>
      </c>
      <c r="I14" s="12" t="s">
        <v>61</v>
      </c>
    </row>
    <row r="15" spans="1:9" x14ac:dyDescent="0.15">
      <c r="A15" s="12" t="s">
        <v>102</v>
      </c>
      <c r="B15" s="12" t="s">
        <v>97</v>
      </c>
      <c r="C15" s="13" t="s">
        <v>103</v>
      </c>
      <c r="D15" s="14" t="s">
        <v>104</v>
      </c>
      <c r="E15" s="12" t="s">
        <v>105</v>
      </c>
      <c r="F15" s="22">
        <v>14000</v>
      </c>
      <c r="G15" s="23">
        <v>0.6</v>
      </c>
      <c r="H15" s="13" t="s">
        <v>106</v>
      </c>
      <c r="I15" s="12" t="s">
        <v>61</v>
      </c>
    </row>
    <row r="16" spans="1:9" x14ac:dyDescent="0.15">
      <c r="A16" s="12" t="s">
        <v>107</v>
      </c>
      <c r="B16" s="12" t="s">
        <v>108</v>
      </c>
      <c r="C16" s="13" t="s">
        <v>109</v>
      </c>
      <c r="D16" s="14" t="s">
        <v>110</v>
      </c>
      <c r="E16" s="12" t="s">
        <v>111</v>
      </c>
      <c r="F16" s="22">
        <v>18000</v>
      </c>
      <c r="G16" s="23">
        <v>0.7</v>
      </c>
      <c r="H16" s="13" t="s">
        <v>112</v>
      </c>
      <c r="I16" s="12" t="s">
        <v>61</v>
      </c>
    </row>
    <row r="17" spans="1:9" x14ac:dyDescent="0.15">
      <c r="A17" s="12" t="s">
        <v>113</v>
      </c>
      <c r="B17" s="12" t="s">
        <v>108</v>
      </c>
      <c r="C17" s="13" t="s">
        <v>114</v>
      </c>
      <c r="D17" s="14" t="s">
        <v>115</v>
      </c>
      <c r="E17" s="12" t="s">
        <v>116</v>
      </c>
      <c r="F17" s="22">
        <v>7500</v>
      </c>
      <c r="G17" s="23">
        <v>0</v>
      </c>
      <c r="H17" s="13" t="s">
        <v>60</v>
      </c>
      <c r="I17" s="12" t="s">
        <v>61</v>
      </c>
    </row>
    <row r="18" spans="1:9" x14ac:dyDescent="0.15">
      <c r="A18" s="12" t="s">
        <v>117</v>
      </c>
      <c r="B18" s="12" t="s">
        <v>108</v>
      </c>
      <c r="C18" s="13" t="s">
        <v>118</v>
      </c>
      <c r="D18" s="14" t="s">
        <v>119</v>
      </c>
      <c r="E18" s="12" t="s">
        <v>120</v>
      </c>
      <c r="F18" s="22">
        <v>25000</v>
      </c>
      <c r="G18" s="23">
        <v>0.6</v>
      </c>
      <c r="H18" s="13" t="s">
        <v>67</v>
      </c>
      <c r="I18" s="12" t="s">
        <v>61</v>
      </c>
    </row>
    <row r="19" spans="1:9" x14ac:dyDescent="0.15">
      <c r="A19" s="12" t="s">
        <v>121</v>
      </c>
      <c r="B19" s="12" t="s">
        <v>122</v>
      </c>
      <c r="C19" s="13" t="s">
        <v>123</v>
      </c>
      <c r="D19" s="14" t="s">
        <v>124</v>
      </c>
      <c r="E19" s="12" t="s">
        <v>125</v>
      </c>
      <c r="F19" s="22">
        <v>0</v>
      </c>
      <c r="G19" s="23">
        <v>0</v>
      </c>
      <c r="H19" s="13" t="s">
        <v>126</v>
      </c>
      <c r="I19" s="12" t="s">
        <v>127</v>
      </c>
    </row>
    <row r="20" spans="1:9" x14ac:dyDescent="0.15">
      <c r="A20" s="12" t="s">
        <v>128</v>
      </c>
      <c r="B20" s="12" t="s">
        <v>122</v>
      </c>
      <c r="C20" s="13" t="s">
        <v>129</v>
      </c>
      <c r="D20" s="14" t="s">
        <v>130</v>
      </c>
      <c r="E20" s="12" t="s">
        <v>125</v>
      </c>
      <c r="F20" s="22">
        <v>0</v>
      </c>
      <c r="G20" s="23">
        <v>0</v>
      </c>
      <c r="H20" s="13" t="s">
        <v>126</v>
      </c>
      <c r="I20" s="12" t="s">
        <v>127</v>
      </c>
    </row>
    <row r="22" spans="1:9" x14ac:dyDescent="0.15">
      <c r="A22" s="15" t="s">
        <v>131</v>
      </c>
    </row>
    <row r="23" spans="1:9" x14ac:dyDescent="0.15">
      <c r="A23" s="13" t="s">
        <v>132</v>
      </c>
    </row>
    <row r="24" spans="1:9" x14ac:dyDescent="0.15">
      <c r="A24" s="13" t="s">
        <v>133</v>
      </c>
    </row>
    <row r="25" spans="1:9" x14ac:dyDescent="0.15">
      <c r="A25" s="13" t="s">
        <v>134</v>
      </c>
    </row>
    <row r="26" spans="1:9" x14ac:dyDescent="0.15">
      <c r="A26" s="13" t="s">
        <v>135</v>
      </c>
    </row>
  </sheetData>
  <mergeCells count="1">
    <mergeCell ref="A2:I2"/>
  </mergeCells>
  <conditionalFormatting sqref="I5:I20">
    <cfRule type="cellIs" dxfId="7" priority="2" operator="equal">
      <formula>"NOT BUILT"</formula>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showGridLines="0" topLeftCell="B1" zoomScaleNormal="100" workbookViewId="0"/>
  </sheetViews>
  <sheetFormatPr defaultColWidth="8.76171875" defaultRowHeight="12.75" x14ac:dyDescent="0.15"/>
  <cols>
    <col min="1" max="1" width="29.9375" customWidth="1"/>
    <col min="2" max="2" width="20.08984375" customWidth="1"/>
    <col min="3" max="3" width="12" customWidth="1"/>
    <col min="4" max="4" width="9.9765625" customWidth="1"/>
    <col min="5" max="5" width="9.03515625" customWidth="1"/>
    <col min="6" max="6" width="50.03125" customWidth="1"/>
    <col min="7" max="7" width="53.94140625" customWidth="1"/>
  </cols>
  <sheetData>
    <row r="1" spans="1:7" ht="18.75" customHeight="1" x14ac:dyDescent="0.2">
      <c r="A1" s="10" t="s">
        <v>11</v>
      </c>
    </row>
    <row r="2" spans="1:7" x14ac:dyDescent="0.15">
      <c r="A2" s="9" t="s">
        <v>136</v>
      </c>
      <c r="B2" s="9"/>
      <c r="C2" s="9"/>
      <c r="D2" s="9"/>
      <c r="E2" s="9"/>
      <c r="F2" s="9"/>
      <c r="G2" s="9"/>
    </row>
    <row r="4" spans="1:7" x14ac:dyDescent="0.15">
      <c r="A4" s="11" t="s">
        <v>137</v>
      </c>
      <c r="B4" s="11" t="s">
        <v>138</v>
      </c>
      <c r="C4" s="11" t="s">
        <v>139</v>
      </c>
      <c r="D4" s="11" t="s">
        <v>140</v>
      </c>
      <c r="E4" s="11" t="s">
        <v>141</v>
      </c>
      <c r="F4" s="11" t="s">
        <v>142</v>
      </c>
      <c r="G4" s="11" t="s">
        <v>143</v>
      </c>
    </row>
    <row r="5" spans="1:7" x14ac:dyDescent="0.15">
      <c r="A5" s="13" t="s">
        <v>144</v>
      </c>
      <c r="B5" s="12" t="s">
        <v>145</v>
      </c>
      <c r="C5" s="24">
        <v>250</v>
      </c>
      <c r="D5" s="25">
        <v>0.18</v>
      </c>
      <c r="E5" s="26">
        <v>2.5</v>
      </c>
      <c r="F5" s="14" t="s">
        <v>146</v>
      </c>
      <c r="G5" s="14" t="s">
        <v>147</v>
      </c>
    </row>
    <row r="6" spans="1:7" x14ac:dyDescent="0.15">
      <c r="A6" s="13" t="s">
        <v>148</v>
      </c>
      <c r="B6" s="12" t="s">
        <v>149</v>
      </c>
      <c r="C6" s="24">
        <v>1</v>
      </c>
      <c r="D6" s="25">
        <v>0.14000000000000001</v>
      </c>
      <c r="E6" s="26">
        <v>2.5</v>
      </c>
      <c r="F6" s="14" t="s">
        <v>150</v>
      </c>
      <c r="G6" s="14" t="s">
        <v>151</v>
      </c>
    </row>
    <row r="7" spans="1:7" x14ac:dyDescent="0.15">
      <c r="A7" s="13" t="s">
        <v>152</v>
      </c>
      <c r="B7" s="12" t="s">
        <v>149</v>
      </c>
      <c r="C7" s="24">
        <v>1</v>
      </c>
      <c r="D7" s="25">
        <v>0.1</v>
      </c>
      <c r="E7" s="26">
        <v>2</v>
      </c>
      <c r="F7" s="14" t="s">
        <v>153</v>
      </c>
      <c r="G7" s="14" t="s">
        <v>154</v>
      </c>
    </row>
    <row r="8" spans="1:7" x14ac:dyDescent="0.15">
      <c r="A8" s="13" t="s">
        <v>155</v>
      </c>
      <c r="B8" s="12" t="s">
        <v>149</v>
      </c>
      <c r="C8" s="24">
        <v>8</v>
      </c>
      <c r="D8" s="25">
        <v>0.2</v>
      </c>
      <c r="E8" s="26">
        <v>3</v>
      </c>
      <c r="F8" s="14" t="s">
        <v>156</v>
      </c>
      <c r="G8" s="14" t="s">
        <v>157</v>
      </c>
    </row>
    <row r="9" spans="1:7" x14ac:dyDescent="0.15">
      <c r="A9" s="13" t="s">
        <v>158</v>
      </c>
      <c r="B9" s="12" t="s">
        <v>149</v>
      </c>
      <c r="C9" s="24">
        <v>1</v>
      </c>
      <c r="D9" s="25">
        <v>0.16</v>
      </c>
      <c r="E9" s="26">
        <v>2.5</v>
      </c>
      <c r="F9" s="14" t="s">
        <v>159</v>
      </c>
      <c r="G9" s="14" t="s">
        <v>160</v>
      </c>
    </row>
    <row r="10" spans="1:7" x14ac:dyDescent="0.15">
      <c r="A10" s="13" t="s">
        <v>161</v>
      </c>
      <c r="B10" s="12" t="s">
        <v>149</v>
      </c>
      <c r="C10" s="24">
        <v>6</v>
      </c>
      <c r="D10" s="25">
        <v>0.16</v>
      </c>
      <c r="E10" s="26">
        <v>3</v>
      </c>
      <c r="F10" s="14" t="s">
        <v>162</v>
      </c>
      <c r="G10" s="14" t="s">
        <v>163</v>
      </c>
    </row>
    <row r="11" spans="1:7" x14ac:dyDescent="0.15">
      <c r="A11" s="13" t="s">
        <v>164</v>
      </c>
      <c r="B11" s="12" t="s">
        <v>149</v>
      </c>
      <c r="C11" s="24">
        <v>8</v>
      </c>
      <c r="D11" s="25">
        <v>0.1</v>
      </c>
      <c r="E11" s="26">
        <v>2</v>
      </c>
      <c r="F11" s="14" t="s">
        <v>165</v>
      </c>
      <c r="G11" s="14" t="s">
        <v>166</v>
      </c>
    </row>
    <row r="12" spans="1:7" x14ac:dyDescent="0.15">
      <c r="A12" s="13" t="s">
        <v>167</v>
      </c>
      <c r="B12" s="12" t="s">
        <v>149</v>
      </c>
      <c r="C12" s="24">
        <v>0</v>
      </c>
      <c r="D12" s="25">
        <v>0.14000000000000001</v>
      </c>
      <c r="E12" s="26">
        <v>2.5</v>
      </c>
      <c r="F12" s="14" t="s">
        <v>168</v>
      </c>
      <c r="G12" s="14" t="s">
        <v>169</v>
      </c>
    </row>
    <row r="13" spans="1:7" x14ac:dyDescent="0.15">
      <c r="A13" s="13" t="s">
        <v>170</v>
      </c>
      <c r="B13" s="12" t="s">
        <v>149</v>
      </c>
      <c r="C13" s="24">
        <v>1</v>
      </c>
      <c r="D13" s="25">
        <v>0.08</v>
      </c>
      <c r="E13" s="26">
        <v>2</v>
      </c>
      <c r="F13" s="14" t="s">
        <v>171</v>
      </c>
      <c r="G13" s="14" t="s">
        <v>172</v>
      </c>
    </row>
    <row r="14" spans="1:7" x14ac:dyDescent="0.15">
      <c r="A14" s="13" t="s">
        <v>173</v>
      </c>
      <c r="B14" s="12" t="s">
        <v>174</v>
      </c>
      <c r="C14" s="24">
        <v>0</v>
      </c>
      <c r="D14" s="25">
        <v>0.12</v>
      </c>
      <c r="E14" s="26">
        <v>2</v>
      </c>
      <c r="F14" s="14" t="s">
        <v>175</v>
      </c>
      <c r="G14" s="14" t="s">
        <v>176</v>
      </c>
    </row>
    <row r="15" spans="1:7" x14ac:dyDescent="0.15">
      <c r="A15" s="13" t="s">
        <v>177</v>
      </c>
      <c r="B15" s="12" t="s">
        <v>149</v>
      </c>
      <c r="C15" s="24">
        <v>5000</v>
      </c>
      <c r="D15" s="25">
        <v>0.08</v>
      </c>
      <c r="E15" s="26">
        <v>2</v>
      </c>
      <c r="F15" s="14" t="s">
        <v>178</v>
      </c>
      <c r="G15" s="14" t="s">
        <v>179</v>
      </c>
    </row>
    <row r="17" spans="1:1" x14ac:dyDescent="0.15">
      <c r="A17" s="15" t="s">
        <v>180</v>
      </c>
    </row>
    <row r="18" spans="1:1" x14ac:dyDescent="0.15">
      <c r="A18" s="13" t="s">
        <v>181</v>
      </c>
    </row>
    <row r="19" spans="1:1" x14ac:dyDescent="0.15">
      <c r="A19" s="13" t="s">
        <v>182</v>
      </c>
    </row>
    <row r="20" spans="1:1" x14ac:dyDescent="0.15">
      <c r="A20" s="13" t="s">
        <v>183</v>
      </c>
    </row>
    <row r="21" spans="1:1" x14ac:dyDescent="0.15">
      <c r="A21" s="13" t="s">
        <v>184</v>
      </c>
    </row>
  </sheetData>
  <mergeCells count="1">
    <mergeCell ref="A2:G2"/>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2"/>
  <sheetViews>
    <sheetView showGridLines="0" tabSelected="1" zoomScaleNormal="100" workbookViewId="0">
      <selection activeCell="D20" sqref="D20"/>
    </sheetView>
  </sheetViews>
  <sheetFormatPr defaultColWidth="8.76171875" defaultRowHeight="12.75" x14ac:dyDescent="0.15"/>
  <cols>
    <col min="1" max="1" width="33.84765625" customWidth="1"/>
    <col min="2" max="2" width="11.32421875" customWidth="1"/>
    <col min="3" max="3" width="41.9375" customWidth="1"/>
    <col min="4" max="4" width="13.078125" customWidth="1"/>
    <col min="5" max="5" width="12" customWidth="1"/>
    <col min="6" max="6" width="18.0703125" customWidth="1"/>
    <col min="7" max="7" width="7.01171875" customWidth="1"/>
    <col min="8" max="8" width="14.96875" customWidth="1"/>
    <col min="9" max="9" width="12" customWidth="1"/>
    <col min="10" max="10" width="14.96875" customWidth="1"/>
  </cols>
  <sheetData>
    <row r="1" spans="1:8" ht="18.75" customHeight="1" x14ac:dyDescent="0.2">
      <c r="A1" s="10" t="s">
        <v>14</v>
      </c>
    </row>
    <row r="2" spans="1:8" x14ac:dyDescent="0.15">
      <c r="A2" s="9" t="s">
        <v>185</v>
      </c>
      <c r="B2" s="9"/>
      <c r="C2" s="9"/>
      <c r="D2" s="9"/>
      <c r="E2" s="9"/>
      <c r="F2" s="9"/>
      <c r="G2" s="9"/>
      <c r="H2" s="9"/>
    </row>
    <row r="4" spans="1:8" x14ac:dyDescent="0.15">
      <c r="A4" s="15" t="s">
        <v>186</v>
      </c>
      <c r="C4" s="8" t="s">
        <v>187</v>
      </c>
      <c r="D4" s="8"/>
      <c r="E4" s="8"/>
      <c r="F4" s="8"/>
    </row>
    <row r="5" spans="1:8" x14ac:dyDescent="0.15">
      <c r="A5" s="13" t="s">
        <v>188</v>
      </c>
      <c r="B5" s="19" t="s">
        <v>189</v>
      </c>
      <c r="C5" t="s">
        <v>190</v>
      </c>
      <c r="D5" s="7"/>
      <c r="E5" s="7"/>
      <c r="F5" s="7"/>
    </row>
    <row r="6" spans="1:8" x14ac:dyDescent="0.15">
      <c r="A6" s="13" t="s">
        <v>191</v>
      </c>
      <c r="B6" s="27">
        <f ca="1">TODAY()</f>
        <v>46254</v>
      </c>
      <c r="C6" t="s">
        <v>192</v>
      </c>
      <c r="D6" s="8" t="s">
        <v>217</v>
      </c>
      <c r="E6" s="8"/>
      <c r="F6" s="8"/>
    </row>
    <row r="7" spans="1:8" ht="15" x14ac:dyDescent="0.2">
      <c r="A7" s="13" t="s">
        <v>194</v>
      </c>
      <c r="B7" s="19" t="s">
        <v>193</v>
      </c>
      <c r="C7" t="s">
        <v>195</v>
      </c>
      <c r="D7" s="6">
        <f>IF(D6&lt;&gt;"Yes",0,IFERROR(VLOOKUP(D5,Controls!$G$5:$I$17,3,FALSE()),0))</f>
        <v>0</v>
      </c>
      <c r="E7" s="6"/>
      <c r="F7" s="6"/>
    </row>
    <row r="8" spans="1:8" ht="36" customHeight="1" x14ac:dyDescent="0.2">
      <c r="A8" s="13" t="s">
        <v>196</v>
      </c>
      <c r="B8" s="19" t="s">
        <v>197</v>
      </c>
      <c r="C8" t="s">
        <v>198</v>
      </c>
      <c r="D8" s="5" t="str">
        <f>IF(D6="Yes",IF(D5="","Select province / territory","Charge "&amp;TEXT(D7,"0%")&amp;" "&amp;IF(OR(D5="Ontario",D5="Nova Scotia",D5="New Brunswick",D5="Newfoundland and Labrador",D5="Prince Edward Island"),"HST","GST")),"Not registered for GST/HST; no HST charged.")</f>
        <v>Select province / territory</v>
      </c>
      <c r="E8" s="5"/>
      <c r="F8" s="5"/>
    </row>
    <row r="10" spans="1:8" x14ac:dyDescent="0.15">
      <c r="A10" s="15" t="s">
        <v>199</v>
      </c>
    </row>
    <row r="11" spans="1:8" ht="24.75" customHeight="1" x14ac:dyDescent="0.15">
      <c r="A11" s="11" t="s">
        <v>137</v>
      </c>
      <c r="B11" s="11" t="s">
        <v>200</v>
      </c>
      <c r="C11" s="11" t="s">
        <v>139</v>
      </c>
      <c r="D11" s="11" t="s">
        <v>201</v>
      </c>
      <c r="E11" s="11" t="s">
        <v>140</v>
      </c>
      <c r="F11" s="11" t="s">
        <v>141</v>
      </c>
      <c r="G11" s="11" t="s">
        <v>202</v>
      </c>
    </row>
    <row r="12" spans="1:8" x14ac:dyDescent="0.15">
      <c r="A12" s="13" t="str">
        <f>'Complexity Drivers'!A5</f>
        <v>Employees (FTE)</v>
      </c>
      <c r="B12" s="30">
        <v>50</v>
      </c>
      <c r="C12" s="31">
        <f>'Complexity Drivers'!C5</f>
        <v>250</v>
      </c>
      <c r="D12" s="32">
        <f>IF(C12&lt;=0,IF(B12&gt;0,1+B12,1),MAX(B12,0)/C12)</f>
        <v>0.2</v>
      </c>
      <c r="E12" s="33">
        <f>'Complexity Drivers'!D5</f>
        <v>0.18</v>
      </c>
      <c r="F12" s="34">
        <f>'Complexity Drivers'!E5</f>
        <v>2.5</v>
      </c>
      <c r="G12" s="35">
        <f>E12*(MIN(MAX(D12,0.5),F12)-1)</f>
        <v>-0.09</v>
      </c>
    </row>
    <row r="13" spans="1:8" x14ac:dyDescent="0.15">
      <c r="A13" s="13" t="str">
        <f>'Complexity Drivers'!A6</f>
        <v>Legal entities / business units</v>
      </c>
      <c r="B13" s="30">
        <v>1</v>
      </c>
      <c r="C13" s="31">
        <f>'Complexity Drivers'!C6</f>
        <v>1</v>
      </c>
      <c r="D13" s="32">
        <f>IF(C13&lt;=0,IF(B13&gt;0,1+B13,1),MAX(B13,0)/C13)</f>
        <v>1</v>
      </c>
      <c r="E13" s="33">
        <f>'Complexity Drivers'!D6</f>
        <v>0.14000000000000001</v>
      </c>
      <c r="F13" s="34">
        <f>'Complexity Drivers'!E6</f>
        <v>2.5</v>
      </c>
      <c r="G13" s="35">
        <f>E13*(MIN(MAX(D13,0.5),F13)-1)</f>
        <v>0</v>
      </c>
    </row>
    <row r="14" spans="1:8" x14ac:dyDescent="0.15">
      <c r="A14" s="13" t="str">
        <f>'Complexity Drivers'!A7</f>
        <v>Countries of operation</v>
      </c>
      <c r="B14" s="30">
        <v>1</v>
      </c>
      <c r="C14" s="31">
        <f>'Complexity Drivers'!C7</f>
        <v>1</v>
      </c>
      <c r="D14" s="32">
        <f>IF(C14&lt;=0,IF(B14&gt;0,1+B14,1),MAX(B14,0)/C14)</f>
        <v>1</v>
      </c>
      <c r="E14" s="33">
        <f>'Complexity Drivers'!D7</f>
        <v>0.1</v>
      </c>
      <c r="F14" s="34">
        <f>'Complexity Drivers'!E7</f>
        <v>2</v>
      </c>
      <c r="G14" s="35">
        <f>E14*(MIN(MAX(D14,0.5),F14)-1)</f>
        <v>0</v>
      </c>
    </row>
    <row r="15" spans="1:8" x14ac:dyDescent="0.15">
      <c r="A15" s="13" t="str">
        <f>'Complexity Drivers'!A8</f>
        <v>Core business applications in scope</v>
      </c>
      <c r="B15" s="30">
        <v>3</v>
      </c>
      <c r="C15" s="31">
        <f>'Complexity Drivers'!C8</f>
        <v>8</v>
      </c>
      <c r="D15" s="32">
        <f>IF(C15&lt;=0,IF(B15&gt;0,1+B15,1),MAX(B15,0)/C15)</f>
        <v>0.375</v>
      </c>
      <c r="E15" s="33">
        <f>'Complexity Drivers'!D8</f>
        <v>0.2</v>
      </c>
      <c r="F15" s="34">
        <f>'Complexity Drivers'!E8</f>
        <v>3</v>
      </c>
      <c r="G15" s="35">
        <f>E15*(MIN(MAX(D15,0.5),F15)-1)</f>
        <v>-0.1</v>
      </c>
    </row>
    <row r="16" spans="1:8" x14ac:dyDescent="0.15">
      <c r="A16" s="13" t="str">
        <f>'Complexity Drivers'!A9</f>
        <v>CRM / ERP instances</v>
      </c>
      <c r="B16" s="30">
        <v>1</v>
      </c>
      <c r="C16" s="31">
        <f>'Complexity Drivers'!C9</f>
        <v>1</v>
      </c>
      <c r="D16" s="32">
        <f>IF(C16&lt;=0,IF(B16&gt;0,1+B16,1),MAX(B16,0)/C16)</f>
        <v>1</v>
      </c>
      <c r="E16" s="33">
        <f>'Complexity Drivers'!D9</f>
        <v>0.16</v>
      </c>
      <c r="F16" s="34">
        <f>'Complexity Drivers'!E9</f>
        <v>2.5</v>
      </c>
      <c r="G16" s="35">
        <f>E16*(MIN(MAX(D16,0.5),F16)-1)</f>
        <v>0</v>
      </c>
    </row>
    <row r="17" spans="1:10" x14ac:dyDescent="0.15">
      <c r="A17" s="13" t="str">
        <f>'Complexity Drivers'!A10</f>
        <v>Integrations in scope</v>
      </c>
      <c r="B17" s="30">
        <v>3</v>
      </c>
      <c r="C17" s="31">
        <f>'Complexity Drivers'!C10</f>
        <v>6</v>
      </c>
      <c r="D17" s="32">
        <f>IF(C17&lt;=0,IF(B17&gt;0,1+B17,1),MAX(B17,0)/C17)</f>
        <v>0.5</v>
      </c>
      <c r="E17" s="33">
        <f>'Complexity Drivers'!D10</f>
        <v>0.16</v>
      </c>
      <c r="F17" s="34">
        <f>'Complexity Drivers'!E10</f>
        <v>3</v>
      </c>
      <c r="G17" s="35">
        <f>E17*(MIN(MAX(D17,0.5),F17)-1)</f>
        <v>-0.08</v>
      </c>
    </row>
    <row r="18" spans="1:10" x14ac:dyDescent="0.15">
      <c r="A18" s="13" t="str">
        <f>'Complexity Drivers'!A11</f>
        <v>Core data entities in scope</v>
      </c>
      <c r="B18" s="30">
        <v>10</v>
      </c>
      <c r="C18" s="31">
        <f>'Complexity Drivers'!C11</f>
        <v>8</v>
      </c>
      <c r="D18" s="32">
        <f>IF(C18&lt;=0,IF(B18&gt;0,1+B18,1),MAX(B18,0)/C18)</f>
        <v>1.25</v>
      </c>
      <c r="E18" s="33">
        <f>'Complexity Drivers'!D11</f>
        <v>0.1</v>
      </c>
      <c r="F18" s="34">
        <f>'Complexity Drivers'!E11</f>
        <v>2</v>
      </c>
      <c r="G18" s="35">
        <f>E18*(MIN(MAX(D18,0.5),F18)-1)</f>
        <v>2.5000000000000001E-2</v>
      </c>
    </row>
    <row r="19" spans="1:10" x14ac:dyDescent="0.15">
      <c r="A19" s="13" t="str">
        <f>'Complexity Drivers'!A12</f>
        <v>AI models or frameworks in production</v>
      </c>
      <c r="B19" s="30">
        <v>0</v>
      </c>
      <c r="C19" s="31">
        <f>'Complexity Drivers'!C12</f>
        <v>0</v>
      </c>
      <c r="D19" s="32">
        <f>IF(C19&lt;=0,IF(B19&gt;0,1+B19,1),MAX(B19,0)/C19)</f>
        <v>1</v>
      </c>
      <c r="E19" s="33">
        <f>'Complexity Drivers'!D12</f>
        <v>0.14000000000000001</v>
      </c>
      <c r="F19" s="34">
        <f>'Complexity Drivers'!E12</f>
        <v>2.5</v>
      </c>
      <c r="G19" s="35">
        <f>E19*(MIN(MAX(D19,0.5),F19)-1)</f>
        <v>0</v>
      </c>
    </row>
    <row r="20" spans="1:10" x14ac:dyDescent="0.15">
      <c r="A20" s="13" t="str">
        <f>'Complexity Drivers'!A13</f>
        <v>Languages in scope</v>
      </c>
      <c r="B20" s="30">
        <v>1</v>
      </c>
      <c r="C20" s="31">
        <f>'Complexity Drivers'!C13</f>
        <v>1</v>
      </c>
      <c r="D20" s="32">
        <f>IF(C20&lt;=0,IF(B20&gt;0,1+B20,1),MAX(B20,0)/C20)</f>
        <v>1</v>
      </c>
      <c r="E20" s="33">
        <f>'Complexity Drivers'!D13</f>
        <v>0.08</v>
      </c>
      <c r="F20" s="34">
        <f>'Complexity Drivers'!E13</f>
        <v>2</v>
      </c>
      <c r="G20" s="35">
        <f>E20*(MIN(MAX(D20,0.5),F20)-1)</f>
        <v>0</v>
      </c>
    </row>
    <row r="21" spans="1:10" x14ac:dyDescent="0.15">
      <c r="A21" s="13" t="str">
        <f>'Complexity Drivers'!A14</f>
        <v>Regulated or certified environment</v>
      </c>
      <c r="B21" s="30">
        <v>0</v>
      </c>
      <c r="C21" s="31">
        <f>'Complexity Drivers'!C14</f>
        <v>0</v>
      </c>
      <c r="D21" s="32">
        <f>IF(C21&lt;=0,IF(B21&gt;0,1+B21,1),MAX(B21,0)/C21)</f>
        <v>1</v>
      </c>
      <c r="E21" s="33">
        <f>'Complexity Drivers'!D14</f>
        <v>0.12</v>
      </c>
      <c r="F21" s="34">
        <f>'Complexity Drivers'!E14</f>
        <v>2</v>
      </c>
      <c r="G21" s="35">
        <f>E21*(MIN(MAX(D21,0.5),F21)-1)</f>
        <v>0</v>
      </c>
    </row>
    <row r="22" spans="1:10" x14ac:dyDescent="0.15">
      <c r="A22" s="13" t="str">
        <f>'Complexity Drivers'!A15</f>
        <v>Annual transactions through the process</v>
      </c>
      <c r="B22" s="30">
        <v>5000</v>
      </c>
      <c r="C22" s="31">
        <f>'Complexity Drivers'!C15</f>
        <v>5000</v>
      </c>
      <c r="D22" s="32">
        <f>IF(C22&lt;=0,IF(B22&gt;0,1+B22,1),MAX(B22,0)/C22)</f>
        <v>1</v>
      </c>
      <c r="E22" s="33">
        <f>'Complexity Drivers'!D15</f>
        <v>0.08</v>
      </c>
      <c r="F22" s="34">
        <f>'Complexity Drivers'!E15</f>
        <v>2</v>
      </c>
      <c r="G22" s="35">
        <f>E22*(MIN(MAX(D22,0.5),F22)-1)</f>
        <v>0</v>
      </c>
    </row>
    <row r="23" spans="1:10" x14ac:dyDescent="0.15">
      <c r="A23" s="15" t="s">
        <v>203</v>
      </c>
      <c r="G23" s="36">
        <f>1+SUM(G12:G22)</f>
        <v>0.755</v>
      </c>
    </row>
    <row r="24" spans="1:10" x14ac:dyDescent="0.15">
      <c r="A24" s="15" t="s">
        <v>204</v>
      </c>
      <c r="G24" s="36">
        <f>MIN(MAX(G23,0.75),3)</f>
        <v>0.755</v>
      </c>
    </row>
    <row r="26" spans="1:10" x14ac:dyDescent="0.15">
      <c r="A26" s="15" t="s">
        <v>205</v>
      </c>
    </row>
    <row r="27" spans="1:10" x14ac:dyDescent="0.15">
      <c r="A27" s="13" t="s">
        <v>206</v>
      </c>
      <c r="B27" s="30">
        <v>2</v>
      </c>
    </row>
    <row r="28" spans="1:10" x14ac:dyDescent="0.15">
      <c r="A28" s="15" t="s">
        <v>207</v>
      </c>
      <c r="B28" s="15" t="str">
        <f>IF(B27="","unknown",IF(B27&lt;=2,"RECOMMENDED — may quote separately","not required"))</f>
        <v>RECOMMENDED — may quote separately</v>
      </c>
    </row>
    <row r="29" spans="1:10" x14ac:dyDescent="0.15">
      <c r="A29" s="37" t="s">
        <v>208</v>
      </c>
    </row>
    <row r="31" spans="1:10" x14ac:dyDescent="0.15">
      <c r="A31" s="15" t="s">
        <v>209</v>
      </c>
    </row>
    <row r="32" spans="1:10" x14ac:dyDescent="0.15">
      <c r="A32" s="11" t="s">
        <v>210</v>
      </c>
      <c r="B32" s="11" t="s">
        <v>46</v>
      </c>
      <c r="C32" s="11" t="s">
        <v>48</v>
      </c>
      <c r="D32" s="11" t="s">
        <v>51</v>
      </c>
      <c r="E32" s="11" t="s">
        <v>211</v>
      </c>
      <c r="F32" s="11" t="s">
        <v>212</v>
      </c>
      <c r="G32" s="11" t="s">
        <v>213</v>
      </c>
      <c r="H32" s="11" t="s">
        <v>214</v>
      </c>
      <c r="I32" s="38" t="s">
        <v>215</v>
      </c>
      <c r="J32" s="38" t="s">
        <v>216</v>
      </c>
    </row>
    <row r="33" spans="1:10" x14ac:dyDescent="0.15">
      <c r="A33" s="30" t="s">
        <v>217</v>
      </c>
      <c r="B33" s="12" t="str">
        <f>'Product Catalogue'!A5</f>
        <v>F01</v>
      </c>
      <c r="C33" s="13" t="str">
        <f>'Product Catalogue'!C5</f>
        <v>FRAME — Executive Session</v>
      </c>
      <c r="D33" s="39">
        <f>'Product Catalogue'!F5</f>
        <v>11000</v>
      </c>
      <c r="E33" s="34">
        <f>'Product Catalogue'!G5</f>
        <v>0.15</v>
      </c>
      <c r="F33" s="40">
        <f>1+(G$24-1)*E33</f>
        <v>0.96325000000000005</v>
      </c>
      <c r="G33" s="30">
        <v>1</v>
      </c>
      <c r="H33" s="39">
        <f>IF(A33="Yes",ROUND(D33*F33*G33,-2),0)</f>
        <v>10600</v>
      </c>
      <c r="I33" s="41">
        <v>1</v>
      </c>
      <c r="J33" s="39">
        <f>ROUND(H33*(1-I33),-2)</f>
        <v>0</v>
      </c>
    </row>
    <row r="34" spans="1:10" x14ac:dyDescent="0.15">
      <c r="A34" s="30" t="s">
        <v>217</v>
      </c>
      <c r="B34" s="12" t="str">
        <f>'Product Catalogue'!A6</f>
        <v>Q00</v>
      </c>
      <c r="C34" s="13" t="str">
        <f>'Product Catalogue'!C6</f>
        <v>Q2C Phase 0 — Business Operations Analysis</v>
      </c>
      <c r="D34" s="39">
        <f>'Product Catalogue'!F6</f>
        <v>5000</v>
      </c>
      <c r="E34" s="34">
        <f>'Product Catalogue'!G6</f>
        <v>1</v>
      </c>
      <c r="F34" s="40">
        <f>1+(G$24-1)*E34</f>
        <v>0.755</v>
      </c>
      <c r="G34" s="30">
        <v>1</v>
      </c>
      <c r="H34" s="39">
        <f>IF(A34="Yes",ROUND(D34*F34*G34,-2),0)</f>
        <v>3800</v>
      </c>
      <c r="I34" s="41">
        <v>0</v>
      </c>
      <c r="J34" s="39">
        <f>ROUND(H34*(1-I34),-2)</f>
        <v>3800</v>
      </c>
    </row>
    <row r="35" spans="1:10" x14ac:dyDescent="0.15">
      <c r="A35" s="30" t="s">
        <v>217</v>
      </c>
      <c r="B35" s="12" t="str">
        <f>'Product Catalogue'!A7</f>
        <v>Q01</v>
      </c>
      <c r="C35" s="13" t="str">
        <f>'Product Catalogue'!C7</f>
        <v>Q2C Standardize &amp; Consolidate</v>
      </c>
      <c r="D35" s="39">
        <f>'Product Catalogue'!F7</f>
        <v>25000</v>
      </c>
      <c r="E35" s="34">
        <f>'Product Catalogue'!G7</f>
        <v>1</v>
      </c>
      <c r="F35" s="40">
        <f>1+(G$24-1)*E35</f>
        <v>0.755</v>
      </c>
      <c r="G35" s="30">
        <v>1</v>
      </c>
      <c r="H35" s="39">
        <f>IF(A35="Yes",ROUND(D35*F35*G35,-2),0)</f>
        <v>18900</v>
      </c>
      <c r="I35" s="41">
        <v>0</v>
      </c>
      <c r="J35" s="39">
        <f>ROUND(H35*(1-I35),-2)</f>
        <v>18900</v>
      </c>
    </row>
    <row r="36" spans="1:10" x14ac:dyDescent="0.15">
      <c r="A36" s="30" t="s">
        <v>217</v>
      </c>
      <c r="B36" s="12" t="str">
        <f>'Product Catalogue'!A8</f>
        <v>Q02</v>
      </c>
      <c r="C36" s="13" t="str">
        <f>'Product Catalogue'!C8</f>
        <v>Q2C Process Improvements &amp; Integrations</v>
      </c>
      <c r="D36" s="39">
        <f>'Product Catalogue'!F8</f>
        <v>35000</v>
      </c>
      <c r="E36" s="34">
        <f>'Product Catalogue'!G8</f>
        <v>1.1499999999999999</v>
      </c>
      <c r="F36" s="40">
        <f>1+(G$24-1)*E36</f>
        <v>0.71825000000000006</v>
      </c>
      <c r="G36" s="30">
        <v>1</v>
      </c>
      <c r="H36" s="39">
        <f>IF(A36="Yes",ROUND(D36*F36*G36,-2),0)</f>
        <v>25100</v>
      </c>
      <c r="I36" s="41">
        <v>0</v>
      </c>
      <c r="J36" s="39">
        <f>ROUND(H36*(1-I36),-2)</f>
        <v>25100</v>
      </c>
    </row>
    <row r="37" spans="1:10" x14ac:dyDescent="0.15">
      <c r="A37" s="30" t="s">
        <v>193</v>
      </c>
      <c r="B37" s="12" t="str">
        <f>'Product Catalogue'!A9</f>
        <v>Q03</v>
      </c>
      <c r="C37" s="13" t="str">
        <f>'Product Catalogue'!C9</f>
        <v>Q2C System of Systems Implementation</v>
      </c>
      <c r="D37" s="39">
        <f>'Product Catalogue'!F9</f>
        <v>50000</v>
      </c>
      <c r="E37" s="34">
        <f>'Product Catalogue'!G9</f>
        <v>1.3</v>
      </c>
      <c r="F37" s="40">
        <f>1+(G$24-1)*E37</f>
        <v>0.68149999999999999</v>
      </c>
      <c r="G37" s="30">
        <v>1</v>
      </c>
      <c r="H37" s="39">
        <f>IF(A37="Yes",ROUND(D37*F37*G37,-2),0)</f>
        <v>0</v>
      </c>
      <c r="I37" s="41">
        <v>0</v>
      </c>
      <c r="J37" s="39">
        <f>ROUND(H37*(1-I37),-2)</f>
        <v>0</v>
      </c>
    </row>
    <row r="38" spans="1:10" x14ac:dyDescent="0.15">
      <c r="A38" s="30" t="s">
        <v>193</v>
      </c>
      <c r="B38" s="12" t="str">
        <f>'Product Catalogue'!A10</f>
        <v>Q04</v>
      </c>
      <c r="C38" s="13" t="str">
        <f>'Product Catalogue'!C10</f>
        <v>Q2C Change Management &amp; Training</v>
      </c>
      <c r="D38" s="39">
        <f>'Product Catalogue'!F10</f>
        <v>10000</v>
      </c>
      <c r="E38" s="34">
        <f>'Product Catalogue'!G10</f>
        <v>0.8</v>
      </c>
      <c r="F38" s="40">
        <f>1+(G$24-1)*E38</f>
        <v>0.80400000000000005</v>
      </c>
      <c r="G38" s="30">
        <v>1</v>
      </c>
      <c r="H38" s="39">
        <f>IF(A38="Yes",ROUND(D38*F38*G38,-2),0)</f>
        <v>0</v>
      </c>
      <c r="I38" s="41">
        <v>0</v>
      </c>
      <c r="J38" s="39">
        <f>ROUND(H38*(1-I38),-2)</f>
        <v>0</v>
      </c>
    </row>
    <row r="39" spans="1:10" x14ac:dyDescent="0.15">
      <c r="A39" s="30" t="s">
        <v>193</v>
      </c>
      <c r="B39" s="12" t="str">
        <f>'Product Catalogue'!A11</f>
        <v>A01</v>
      </c>
      <c r="C39" s="13" t="str">
        <f>'Product Catalogue'!C11</f>
        <v>AI Operations MAP</v>
      </c>
      <c r="D39" s="39">
        <f>'Product Catalogue'!F11</f>
        <v>42500</v>
      </c>
      <c r="E39" s="34">
        <f>'Product Catalogue'!G11</f>
        <v>1</v>
      </c>
      <c r="F39" s="40">
        <f>1+(G$24-1)*E39</f>
        <v>0.755</v>
      </c>
      <c r="G39" s="30">
        <v>1</v>
      </c>
      <c r="H39" s="39">
        <f>IF(A39="Yes",ROUND(D39*F39*G39,-2),0)</f>
        <v>0</v>
      </c>
      <c r="I39" s="41">
        <v>0</v>
      </c>
      <c r="J39" s="39">
        <f>ROUND(H39*(1-I39),-2)</f>
        <v>0</v>
      </c>
    </row>
    <row r="40" spans="1:10" x14ac:dyDescent="0.15">
      <c r="A40" s="30" t="s">
        <v>193</v>
      </c>
      <c r="B40" s="12" t="str">
        <f>'Product Catalogue'!A12</f>
        <v>A02</v>
      </c>
      <c r="C40" s="13" t="str">
        <f>'Product Catalogue'!C12</f>
        <v>AI Operations DESIGN</v>
      </c>
      <c r="D40" s="39">
        <f>'Product Catalogue'!F12</f>
        <v>72500</v>
      </c>
      <c r="E40" s="34">
        <f>'Product Catalogue'!G12</f>
        <v>1</v>
      </c>
      <c r="F40" s="40">
        <f>1+(G$24-1)*E40</f>
        <v>0.755</v>
      </c>
      <c r="G40" s="30">
        <v>1</v>
      </c>
      <c r="H40" s="39">
        <f>IF(A40="Yes",ROUND(D40*F40*G40,-2),0)</f>
        <v>0</v>
      </c>
      <c r="I40" s="41">
        <v>0</v>
      </c>
      <c r="J40" s="39">
        <f>ROUND(H40*(1-I40),-2)</f>
        <v>0</v>
      </c>
    </row>
    <row r="41" spans="1:10" x14ac:dyDescent="0.15">
      <c r="A41" s="30" t="s">
        <v>193</v>
      </c>
      <c r="B41" s="12" t="str">
        <f>'Product Catalogue'!A13</f>
        <v>A03</v>
      </c>
      <c r="C41" s="13" t="str">
        <f>'Product Catalogue'!C13</f>
        <v>AI Operations PROVE</v>
      </c>
      <c r="D41" s="39">
        <f>'Product Catalogue'!F13</f>
        <v>130000</v>
      </c>
      <c r="E41" s="34">
        <f>'Product Catalogue'!G13</f>
        <v>1.1000000000000001</v>
      </c>
      <c r="F41" s="40">
        <f>1+(G$24-1)*E41</f>
        <v>0.73049999999999993</v>
      </c>
      <c r="G41" s="30">
        <v>1</v>
      </c>
      <c r="H41" s="39">
        <f>IF(A41="Yes",ROUND(D41*F41*G41,-2),0)</f>
        <v>0</v>
      </c>
      <c r="I41" s="41">
        <v>0</v>
      </c>
      <c r="J41" s="39">
        <f>ROUND(H41*(1-I41),-2)</f>
        <v>0</v>
      </c>
    </row>
    <row r="42" spans="1:10" x14ac:dyDescent="0.15">
      <c r="A42" s="30" t="s">
        <v>193</v>
      </c>
      <c r="B42" s="12" t="str">
        <f>'Product Catalogue'!A14</f>
        <v>S01</v>
      </c>
      <c r="C42" s="13" t="str">
        <f>'Product Catalogue'!C14</f>
        <v>STEWARD — Ongoing Capacity Review</v>
      </c>
      <c r="D42" s="39">
        <f>'Product Catalogue'!F14</f>
        <v>9000</v>
      </c>
      <c r="E42" s="34">
        <f>'Product Catalogue'!G14</f>
        <v>0.5</v>
      </c>
      <c r="F42" s="40">
        <f>1+(G$24-1)*E42</f>
        <v>0.87749999999999995</v>
      </c>
      <c r="G42" s="30">
        <v>1</v>
      </c>
      <c r="H42" s="39">
        <f>IF(A42="Yes",ROUND(D42*F42*G42,-2),0)</f>
        <v>0</v>
      </c>
      <c r="I42" s="41">
        <v>0</v>
      </c>
      <c r="J42" s="39">
        <f>ROUND(H42*(1-I42),-2)</f>
        <v>0</v>
      </c>
    </row>
    <row r="43" spans="1:10" x14ac:dyDescent="0.15">
      <c r="A43" s="30" t="s">
        <v>193</v>
      </c>
      <c r="B43" s="12" t="str">
        <f>'Product Catalogue'!A15</f>
        <v>S02</v>
      </c>
      <c r="C43" s="13" t="str">
        <f>'Product Catalogue'!C15</f>
        <v>Hypercare (per wave)</v>
      </c>
      <c r="D43" s="39">
        <f>'Product Catalogue'!F15</f>
        <v>14000</v>
      </c>
      <c r="E43" s="34">
        <f>'Product Catalogue'!G15</f>
        <v>0.6</v>
      </c>
      <c r="F43" s="40">
        <f>1+(G$24-1)*E43</f>
        <v>0.85299999999999998</v>
      </c>
      <c r="G43" s="30">
        <v>1</v>
      </c>
      <c r="H43" s="39">
        <f>IF(A43="Yes",ROUND(D43*F43*G43,-2),0)</f>
        <v>0</v>
      </c>
      <c r="I43" s="41">
        <v>0</v>
      </c>
      <c r="J43" s="39">
        <f>ROUND(H43*(1-I43),-2)</f>
        <v>0</v>
      </c>
    </row>
    <row r="44" spans="1:10" x14ac:dyDescent="0.15">
      <c r="A44" s="30" t="s">
        <v>193</v>
      </c>
      <c r="B44" s="12" t="str">
        <f>'Product Catalogue'!A16</f>
        <v>X01</v>
      </c>
      <c r="C44" s="13" t="str">
        <f>'Product Catalogue'!C16</f>
        <v>Modernisation Education Pre-Work</v>
      </c>
      <c r="D44" s="39">
        <f>'Product Catalogue'!F16</f>
        <v>18000</v>
      </c>
      <c r="E44" s="34">
        <f>'Product Catalogue'!G16</f>
        <v>0.7</v>
      </c>
      <c r="F44" s="40">
        <f>1+(G$24-1)*E44</f>
        <v>0.82850000000000001</v>
      </c>
      <c r="G44" s="30">
        <v>1</v>
      </c>
      <c r="H44" s="39">
        <f>IF(A44="Yes",ROUND(D44*F44*G44,-2),0)</f>
        <v>0</v>
      </c>
      <c r="I44" s="41">
        <v>0</v>
      </c>
      <c r="J44" s="39">
        <f>ROUND(H44*(1-I44),-2)</f>
        <v>0</v>
      </c>
    </row>
    <row r="45" spans="1:10" x14ac:dyDescent="0.15">
      <c r="A45" s="30" t="s">
        <v>193</v>
      </c>
      <c r="B45" s="12" t="str">
        <f>'Product Catalogue'!A17</f>
        <v>X02</v>
      </c>
      <c r="C45" s="13" t="str">
        <f>'Product Catalogue'!C17</f>
        <v>Executive or Board Briefing</v>
      </c>
      <c r="D45" s="39">
        <f>'Product Catalogue'!F17</f>
        <v>7500</v>
      </c>
      <c r="E45" s="34">
        <f>'Product Catalogue'!G17</f>
        <v>0</v>
      </c>
      <c r="F45" s="40">
        <f>1+(G$24-1)*E45</f>
        <v>1</v>
      </c>
      <c r="G45" s="30">
        <v>1</v>
      </c>
      <c r="H45" s="39">
        <f>IF(A45="Yes",ROUND(D45*F45*G45,-2),0)</f>
        <v>0</v>
      </c>
      <c r="I45" s="41">
        <v>0</v>
      </c>
      <c r="J45" s="39">
        <f>ROUND(H45*(1-I45),-2)</f>
        <v>0</v>
      </c>
    </row>
    <row r="46" spans="1:10" x14ac:dyDescent="0.15">
      <c r="A46" s="30" t="s">
        <v>193</v>
      </c>
      <c r="B46" s="12" t="str">
        <f>'Product Catalogue'!A18</f>
        <v>X03</v>
      </c>
      <c r="C46" s="13" t="str">
        <f>'Product Catalogue'!C18</f>
        <v>Operating Model Handover</v>
      </c>
      <c r="D46" s="39">
        <f>'Product Catalogue'!F18</f>
        <v>25000</v>
      </c>
      <c r="E46" s="34">
        <f>'Product Catalogue'!G18</f>
        <v>0.6</v>
      </c>
      <c r="F46" s="40">
        <f>1+(G$24-1)*E46</f>
        <v>0.85299999999999998</v>
      </c>
      <c r="G46" s="30">
        <v>1</v>
      </c>
      <c r="H46" s="39">
        <f>IF(A46="Yes",ROUND(D46*F46*G46,-2),0)</f>
        <v>0</v>
      </c>
      <c r="I46" s="41">
        <v>0</v>
      </c>
      <c r="J46" s="39">
        <f>ROUND(H46*(1-I46),-2)</f>
        <v>0</v>
      </c>
    </row>
    <row r="47" spans="1:10" x14ac:dyDescent="0.15">
      <c r="A47" s="30" t="s">
        <v>193</v>
      </c>
      <c r="B47" s="12" t="str">
        <f>'Product Catalogue'!A19</f>
        <v>P01</v>
      </c>
      <c r="C47" s="13" t="str">
        <f>'Product Catalogue'!C19</f>
        <v>Capacity Calculator (licence)</v>
      </c>
      <c r="D47" s="39">
        <f>'Product Catalogue'!F19</f>
        <v>0</v>
      </c>
      <c r="E47" s="34">
        <f>'Product Catalogue'!G19</f>
        <v>0</v>
      </c>
      <c r="F47" s="40">
        <f>1+(G$24-1)*E47</f>
        <v>1</v>
      </c>
      <c r="G47" s="30">
        <v>1</v>
      </c>
      <c r="H47" s="39">
        <f>IF(A47="Yes",ROUND(D47*F47*G47,-2),0)</f>
        <v>0</v>
      </c>
      <c r="I47" s="41">
        <v>0</v>
      </c>
      <c r="J47" s="39">
        <f>ROUND(H47*(1-I47),-2)</f>
        <v>0</v>
      </c>
    </row>
    <row r="48" spans="1:10" x14ac:dyDescent="0.15">
      <c r="A48" s="30" t="s">
        <v>193</v>
      </c>
      <c r="B48" s="12" t="str">
        <f>'Product Catalogue'!A20</f>
        <v>P02</v>
      </c>
      <c r="C48" s="13" t="str">
        <f>'Product Catalogue'!C20</f>
        <v>Benchmark Access</v>
      </c>
      <c r="D48" s="39">
        <f>'Product Catalogue'!F20</f>
        <v>0</v>
      </c>
      <c r="E48" s="34">
        <f>'Product Catalogue'!G20</f>
        <v>0</v>
      </c>
      <c r="F48" s="40">
        <f>1+(G$24-1)*E48</f>
        <v>1</v>
      </c>
      <c r="G48" s="30">
        <v>1</v>
      </c>
      <c r="H48" s="39">
        <f>IF(A48="Yes",ROUND(D48*F48*G48,-2),0)</f>
        <v>0</v>
      </c>
      <c r="I48" s="41">
        <v>0</v>
      </c>
      <c r="J48" s="39">
        <f>ROUND(H48*(1-I48),-2)</f>
        <v>0</v>
      </c>
    </row>
    <row r="49" spans="1:10" x14ac:dyDescent="0.15">
      <c r="C49" s="15" t="s">
        <v>218</v>
      </c>
      <c r="H49" s="42">
        <f>SUM(H33:H48)</f>
        <v>58400</v>
      </c>
      <c r="J49" s="42">
        <f>SUM(J33:J48)</f>
        <v>47800</v>
      </c>
    </row>
    <row r="50" spans="1:10" x14ac:dyDescent="0.15">
      <c r="C50" s="13" t="s">
        <v>215</v>
      </c>
      <c r="H50" s="43">
        <v>0</v>
      </c>
    </row>
    <row r="51" spans="1:10" ht="14.25" x14ac:dyDescent="0.15">
      <c r="C51" s="44" t="s">
        <v>219</v>
      </c>
      <c r="H51" s="45">
        <f>ROUND(H49*(1-H50),-2)</f>
        <v>58400</v>
      </c>
      <c r="J51" s="45">
        <f>ROUND(J49*(1-H50),-2)</f>
        <v>47800</v>
      </c>
    </row>
    <row r="53" spans="1:10" x14ac:dyDescent="0.15">
      <c r="A53" s="15" t="s">
        <v>220</v>
      </c>
    </row>
    <row r="54" spans="1:10" x14ac:dyDescent="0.15">
      <c r="C54" s="13" t="s">
        <v>221</v>
      </c>
      <c r="H54" s="13">
        <f>ROUND(SUMPRODUCT('Unit Economics'!$C$5:$C$20,--(H33:H48&gt;0))*G$24,0)</f>
        <v>82</v>
      </c>
    </row>
    <row r="55" spans="1:10" x14ac:dyDescent="0.15">
      <c r="C55" s="13" t="s">
        <v>222</v>
      </c>
      <c r="H55" s="39">
        <f>'Unit Economics'!D28</f>
        <v>959.32751937984494</v>
      </c>
    </row>
    <row r="56" spans="1:10" x14ac:dyDescent="0.15">
      <c r="C56" s="13" t="s">
        <v>223</v>
      </c>
      <c r="H56" s="39">
        <f>H54*H55</f>
        <v>78664.856589147283</v>
      </c>
    </row>
    <row r="57" spans="1:10" x14ac:dyDescent="0.15">
      <c r="C57" s="15" t="s">
        <v>224</v>
      </c>
      <c r="H57" s="46">
        <f>H51-H56</f>
        <v>-20264.856589147283</v>
      </c>
    </row>
    <row r="58" spans="1:10" x14ac:dyDescent="0.15">
      <c r="C58" s="15" t="s">
        <v>225</v>
      </c>
      <c r="H58" s="47">
        <f>IF(H51=0,0,H57/H51)</f>
        <v>-0.34700096899224797</v>
      </c>
    </row>
    <row r="60" spans="1:10" x14ac:dyDescent="0.15">
      <c r="A60" s="48" t="str">
        <f>IF(B7="No","DRIVERS NOT VERIFIED — this quote is INDICATIVE ONLY until Frame confirms the inputs.","Drivers verified at Frame. Fixed price may be issued.")</f>
        <v>DRIVERS NOT VERIFIED — this quote is INDICATIVE ONLY until Frame confirms the inputs.</v>
      </c>
    </row>
    <row r="62" spans="1:10" x14ac:dyDescent="0.15">
      <c r="A62" s="49" t="s">
        <v>226</v>
      </c>
    </row>
  </sheetData>
  <mergeCells count="6">
    <mergeCell ref="D8:F8"/>
    <mergeCell ref="A2:H2"/>
    <mergeCell ref="C4:F4"/>
    <mergeCell ref="D5:F5"/>
    <mergeCell ref="D6:F6"/>
    <mergeCell ref="D7:F7"/>
  </mergeCells>
  <conditionalFormatting sqref="B28">
    <cfRule type="cellIs" dxfId="6" priority="2" operator="equal">
      <formula>"REQUIRED"</formula>
    </cfRule>
  </conditionalFormatting>
  <conditionalFormatting sqref="H58">
    <cfRule type="cellIs" dxfId="5" priority="3" operator="lessThan">
      <formula>0.45</formula>
    </cfRule>
    <cfRule type="cellIs" dxfId="4" priority="4" operator="greaterThanOrEqual">
      <formula>0.55</formula>
    </cfRule>
  </conditionalFormatting>
  <conditionalFormatting sqref="I33:I48">
    <cfRule type="cellIs" dxfId="3" priority="5" operator="greaterThan">
      <formula>0</formula>
    </cfRule>
  </conditionalFormatting>
  <dataValidations count="3">
    <dataValidation type="list" sqref="A33:A48" xr:uid="{00000000-0002-0000-0300-000000000000}">
      <formula1>"Yes,No"</formula1>
      <formula2>0</formula2>
    </dataValidation>
    <dataValidation type="list" sqref="D5" xr:uid="{00000000-0002-0000-0300-000001000000}">
      <formula1>"Alberta,British Columbia,Manitoba,New Brunswick,Newfoundland and Labrador,Northwest Territories,Nova Scotia,Nunavut,Ontario,Prince Edward Island,Quebec,Saskatchewan,Yukon"</formula1>
      <formula2>0</formula2>
    </dataValidation>
    <dataValidation type="list" sqref="D6" xr:uid="{00000000-0002-0000-0300-000002000000}">
      <formula1>"No,Yes"</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8"/>
  <sheetViews>
    <sheetView showGridLines="0" topLeftCell="B1" zoomScaleNormal="100" workbookViewId="0"/>
  </sheetViews>
  <sheetFormatPr defaultColWidth="8.76171875" defaultRowHeight="12.75" x14ac:dyDescent="0.15"/>
  <cols>
    <col min="1" max="1" width="29.9375" customWidth="1"/>
    <col min="2" max="3" width="18.0703125" customWidth="1"/>
    <col min="4" max="4" width="14.0234375" customWidth="1"/>
    <col min="5" max="5" width="9.9765625" customWidth="1"/>
    <col min="6" max="6" width="16.046875" customWidth="1"/>
  </cols>
  <sheetData>
    <row r="1" spans="1:6" ht="18.75" customHeight="1" x14ac:dyDescent="0.2">
      <c r="A1" s="10" t="s">
        <v>18</v>
      </c>
    </row>
    <row r="2" spans="1:6" x14ac:dyDescent="0.15">
      <c r="A2" s="9" t="s">
        <v>227</v>
      </c>
      <c r="B2" s="9"/>
      <c r="C2" s="9"/>
      <c r="D2" s="9"/>
      <c r="E2" s="9"/>
      <c r="F2" s="9"/>
    </row>
    <row r="4" spans="1:6" ht="24.75" customHeight="1" x14ac:dyDescent="0.15">
      <c r="A4" s="11" t="s">
        <v>46</v>
      </c>
      <c r="B4" s="11" t="s">
        <v>48</v>
      </c>
      <c r="C4" s="11" t="s">
        <v>228</v>
      </c>
      <c r="D4" s="11" t="s">
        <v>51</v>
      </c>
      <c r="E4" s="11" t="s">
        <v>229</v>
      </c>
      <c r="F4" s="11" t="s">
        <v>230</v>
      </c>
    </row>
    <row r="5" spans="1:6" x14ac:dyDescent="0.15">
      <c r="A5" s="12" t="str">
        <f>'Product Catalogue'!A5</f>
        <v>F01</v>
      </c>
      <c r="B5" s="13" t="str">
        <f>'Product Catalogue'!C5</f>
        <v>FRAME — Executive Session</v>
      </c>
      <c r="C5" s="30">
        <v>2</v>
      </c>
      <c r="D5" s="39">
        <f>'Product Catalogue'!F5</f>
        <v>11000</v>
      </c>
      <c r="E5" s="39">
        <f>C5*$D$28</f>
        <v>1918.6550387596899</v>
      </c>
      <c r="F5" s="50">
        <f>IF(D5=0,0,(D5-E5)/D5)</f>
        <v>0.82557681465820998</v>
      </c>
    </row>
    <row r="6" spans="1:6" x14ac:dyDescent="0.15">
      <c r="A6" s="12" t="str">
        <f>'Product Catalogue'!A6</f>
        <v>Q00</v>
      </c>
      <c r="B6" s="13" t="str">
        <f>'Product Catalogue'!C6</f>
        <v>Q2C Phase 0 — Business Operations Analysis</v>
      </c>
      <c r="C6" s="30">
        <v>26</v>
      </c>
      <c r="D6" s="39">
        <f>'Product Catalogue'!F6</f>
        <v>5000</v>
      </c>
      <c r="E6" s="39">
        <f>C6*$D$28</f>
        <v>24942.515503875969</v>
      </c>
      <c r="F6" s="50">
        <f>IF(D6=0,0,(D6-E6)/D6)</f>
        <v>-3.9885031007751941</v>
      </c>
    </row>
    <row r="7" spans="1:6" x14ac:dyDescent="0.15">
      <c r="A7" s="12" t="str">
        <f>'Product Catalogue'!A7</f>
        <v>Q01</v>
      </c>
      <c r="B7" s="13" t="str">
        <f>'Product Catalogue'!C7</f>
        <v>Q2C Standardize &amp; Consolidate</v>
      </c>
      <c r="C7" s="30">
        <v>32</v>
      </c>
      <c r="D7" s="39">
        <f>'Product Catalogue'!F7</f>
        <v>25000</v>
      </c>
      <c r="E7" s="39">
        <f>C7*$D$28</f>
        <v>30698.480620155038</v>
      </c>
      <c r="F7" s="50">
        <f>IF(D7=0,0,(D7-E7)/D7)</f>
        <v>-0.22793922480620152</v>
      </c>
    </row>
    <row r="8" spans="1:6" x14ac:dyDescent="0.15">
      <c r="A8" s="12" t="str">
        <f>'Product Catalogue'!A8</f>
        <v>Q02</v>
      </c>
      <c r="B8" s="13" t="str">
        <f>'Product Catalogue'!C8</f>
        <v>Q2C Process Improvements &amp; Integrations</v>
      </c>
      <c r="C8" s="30">
        <v>48</v>
      </c>
      <c r="D8" s="39">
        <f>'Product Catalogue'!F8</f>
        <v>35000</v>
      </c>
      <c r="E8" s="39">
        <f>C8*$D$28</f>
        <v>46047.720930232557</v>
      </c>
      <c r="F8" s="50">
        <f>IF(D8=0,0,(D8-E8)/D8)</f>
        <v>-0.31564916943521593</v>
      </c>
    </row>
    <row r="9" spans="1:6" x14ac:dyDescent="0.15">
      <c r="A9" s="12" t="str">
        <f>'Product Catalogue'!A9</f>
        <v>Q03</v>
      </c>
      <c r="B9" s="13" t="str">
        <f>'Product Catalogue'!C9</f>
        <v>Q2C System of Systems Implementation</v>
      </c>
      <c r="C9" s="30">
        <v>92</v>
      </c>
      <c r="D9" s="39">
        <f>'Product Catalogue'!F9</f>
        <v>50000</v>
      </c>
      <c r="E9" s="39">
        <f>C9*$D$28</f>
        <v>88258.13178294574</v>
      </c>
      <c r="F9" s="50">
        <f>IF(D9=0,0,(D9-E9)/D9)</f>
        <v>-0.76516263565891485</v>
      </c>
    </row>
    <row r="10" spans="1:6" x14ac:dyDescent="0.15">
      <c r="A10" s="12" t="str">
        <f>'Product Catalogue'!A10</f>
        <v>Q04</v>
      </c>
      <c r="B10" s="13" t="str">
        <f>'Product Catalogue'!C10</f>
        <v>Q2C Change Management &amp; Training</v>
      </c>
      <c r="C10" s="30">
        <v>20</v>
      </c>
      <c r="D10" s="39">
        <f>'Product Catalogue'!F10</f>
        <v>10000</v>
      </c>
      <c r="E10" s="39">
        <f>C10*$D$28</f>
        <v>19186.550387596901</v>
      </c>
      <c r="F10" s="50">
        <f>IF(D10=0,0,(D10-E10)/D10)</f>
        <v>-0.91865503875969012</v>
      </c>
    </row>
    <row r="11" spans="1:6" x14ac:dyDescent="0.15">
      <c r="A11" s="12" t="str">
        <f>'Product Catalogue'!A11</f>
        <v>A01</v>
      </c>
      <c r="B11" s="13" t="str">
        <f>'Product Catalogue'!C11</f>
        <v>AI Operations MAP</v>
      </c>
      <c r="C11" s="30">
        <v>22</v>
      </c>
      <c r="D11" s="39">
        <f>'Product Catalogue'!F11</f>
        <v>42500</v>
      </c>
      <c r="E11" s="39">
        <f>C11*$D$28</f>
        <v>21105.205426356588</v>
      </c>
      <c r="F11" s="50">
        <f>IF(D11=0,0,(D11-E11)/D11)</f>
        <v>0.50340693114455093</v>
      </c>
    </row>
    <row r="12" spans="1:6" x14ac:dyDescent="0.15">
      <c r="A12" s="12" t="str">
        <f>'Product Catalogue'!A12</f>
        <v>A02</v>
      </c>
      <c r="B12" s="13" t="str">
        <f>'Product Catalogue'!C12</f>
        <v>AI Operations DESIGN</v>
      </c>
      <c r="C12" s="30">
        <v>30</v>
      </c>
      <c r="D12" s="39">
        <f>'Product Catalogue'!F12</f>
        <v>72500</v>
      </c>
      <c r="E12" s="39">
        <f>C12*$D$28</f>
        <v>28779.825581395347</v>
      </c>
      <c r="F12" s="50">
        <f>IF(D12=0,0,(D12-E12)/D12)</f>
        <v>0.60303688853247805</v>
      </c>
    </row>
    <row r="13" spans="1:6" x14ac:dyDescent="0.15">
      <c r="A13" s="12" t="str">
        <f>'Product Catalogue'!A13</f>
        <v>A03</v>
      </c>
      <c r="B13" s="13" t="str">
        <f>'Product Catalogue'!C13</f>
        <v>AI Operations PROVE</v>
      </c>
      <c r="C13" s="30">
        <v>58</v>
      </c>
      <c r="D13" s="39">
        <f>'Product Catalogue'!F13</f>
        <v>130000</v>
      </c>
      <c r="E13" s="39">
        <f>C13*$D$28</f>
        <v>55640.996124031008</v>
      </c>
      <c r="F13" s="50">
        <f>IF(D13=0,0,(D13-E13)/D13)</f>
        <v>0.57199233750745382</v>
      </c>
    </row>
    <row r="14" spans="1:6" x14ac:dyDescent="0.15">
      <c r="A14" s="12" t="str">
        <f>'Product Catalogue'!A14</f>
        <v>S01</v>
      </c>
      <c r="B14" s="13" t="str">
        <f>'Product Catalogue'!C14</f>
        <v>STEWARD — Ongoing Capacity Review</v>
      </c>
      <c r="C14" s="30">
        <v>4</v>
      </c>
      <c r="D14" s="39">
        <f>'Product Catalogue'!F14</f>
        <v>9000</v>
      </c>
      <c r="E14" s="39">
        <f>C14*$D$28</f>
        <v>3837.3100775193798</v>
      </c>
      <c r="F14" s="50">
        <f>IF(D14=0,0,(D14-E14)/D14)</f>
        <v>0.57363221360895778</v>
      </c>
    </row>
    <row r="15" spans="1:6" x14ac:dyDescent="0.15">
      <c r="A15" s="12" t="str">
        <f>'Product Catalogue'!A15</f>
        <v>S02</v>
      </c>
      <c r="B15" s="13" t="str">
        <f>'Product Catalogue'!C15</f>
        <v>Hypercare (per wave)</v>
      </c>
      <c r="C15" s="30">
        <v>7</v>
      </c>
      <c r="D15" s="39">
        <f>'Product Catalogue'!F15</f>
        <v>14000</v>
      </c>
      <c r="E15" s="39">
        <f>C15*$D$28</f>
        <v>6715.2926356589142</v>
      </c>
      <c r="F15" s="50">
        <f>IF(D15=0,0,(D15-E15)/D15)</f>
        <v>0.52033624031007752</v>
      </c>
    </row>
    <row r="16" spans="1:6" x14ac:dyDescent="0.15">
      <c r="A16" s="12" t="str">
        <f>'Product Catalogue'!A16</f>
        <v>X01</v>
      </c>
      <c r="B16" s="13" t="str">
        <f>'Product Catalogue'!C16</f>
        <v>Modernisation Education Pre-Work</v>
      </c>
      <c r="C16" s="30">
        <v>9</v>
      </c>
      <c r="D16" s="39">
        <f>'Product Catalogue'!F16</f>
        <v>18000</v>
      </c>
      <c r="E16" s="39">
        <f>C16*$D$28</f>
        <v>8633.9476744186049</v>
      </c>
      <c r="F16" s="50">
        <f>IF(D16=0,0,(D16-E16)/D16)</f>
        <v>0.52033624031007752</v>
      </c>
    </row>
    <row r="17" spans="1:6" x14ac:dyDescent="0.15">
      <c r="A17" s="12" t="str">
        <f>'Product Catalogue'!A17</f>
        <v>X02</v>
      </c>
      <c r="B17" s="13" t="str">
        <f>'Product Catalogue'!C17</f>
        <v>Executive or Board Briefing</v>
      </c>
      <c r="C17" s="30">
        <v>2</v>
      </c>
      <c r="D17" s="39">
        <f>'Product Catalogue'!F17</f>
        <v>7500</v>
      </c>
      <c r="E17" s="39">
        <f>C17*$D$28</f>
        <v>1918.6550387596899</v>
      </c>
      <c r="F17" s="50">
        <f>IF(D17=0,0,(D17-E17)/D17)</f>
        <v>0.74417932816537469</v>
      </c>
    </row>
    <row r="18" spans="1:6" x14ac:dyDescent="0.15">
      <c r="A18" s="12" t="str">
        <f>'Product Catalogue'!A18</f>
        <v>X03</v>
      </c>
      <c r="B18" s="13" t="str">
        <f>'Product Catalogue'!C18</f>
        <v>Operating Model Handover</v>
      </c>
      <c r="C18" s="30">
        <v>13</v>
      </c>
      <c r="D18" s="39">
        <f>'Product Catalogue'!F18</f>
        <v>25000</v>
      </c>
      <c r="E18" s="39">
        <f>C18*$D$28</f>
        <v>12471.257751937985</v>
      </c>
      <c r="F18" s="50">
        <f>IF(D18=0,0,(D18-E18)/D18)</f>
        <v>0.50114968992248066</v>
      </c>
    </row>
    <row r="19" spans="1:6" x14ac:dyDescent="0.15">
      <c r="A19" s="12" t="str">
        <f>'Product Catalogue'!A19</f>
        <v>P01</v>
      </c>
      <c r="B19" s="13" t="str">
        <f>'Product Catalogue'!C19</f>
        <v>Capacity Calculator (licence)</v>
      </c>
      <c r="C19" s="30">
        <v>0</v>
      </c>
      <c r="D19" s="39">
        <f>'Product Catalogue'!F19</f>
        <v>0</v>
      </c>
      <c r="E19" s="39">
        <f>C19*$D$28</f>
        <v>0</v>
      </c>
      <c r="F19" s="50">
        <f>IF(D19=0,0,(D19-E19)/D19)</f>
        <v>0</v>
      </c>
    </row>
    <row r="20" spans="1:6" x14ac:dyDescent="0.15">
      <c r="A20" s="12" t="str">
        <f>'Product Catalogue'!A20</f>
        <v>P02</v>
      </c>
      <c r="B20" s="13" t="str">
        <f>'Product Catalogue'!C20</f>
        <v>Benchmark Access</v>
      </c>
      <c r="C20" s="30">
        <v>0</v>
      </c>
      <c r="D20" s="39">
        <f>'Product Catalogue'!F20</f>
        <v>0</v>
      </c>
      <c r="E20" s="39">
        <f>C20*$D$28</f>
        <v>0</v>
      </c>
      <c r="F20" s="50">
        <f>IF(D20=0,0,(D20-E20)/D20)</f>
        <v>0</v>
      </c>
    </row>
    <row r="22" spans="1:6" x14ac:dyDescent="0.15">
      <c r="A22" s="15" t="s">
        <v>231</v>
      </c>
    </row>
    <row r="23" spans="1:6" x14ac:dyDescent="0.15">
      <c r="A23" s="11" t="s">
        <v>232</v>
      </c>
      <c r="B23" s="11" t="s">
        <v>233</v>
      </c>
      <c r="C23" s="11" t="s">
        <v>234</v>
      </c>
      <c r="D23" s="11" t="s">
        <v>235</v>
      </c>
      <c r="E23" s="11" t="s">
        <v>236</v>
      </c>
      <c r="F23" s="11" t="s">
        <v>237</v>
      </c>
    </row>
    <row r="24" spans="1:6" x14ac:dyDescent="0.15">
      <c r="A24" s="13" t="s">
        <v>238</v>
      </c>
      <c r="B24" s="51">
        <v>253000</v>
      </c>
      <c r="C24" s="30">
        <v>200</v>
      </c>
      <c r="D24" s="39">
        <f>IF(C24=0,0,B24/C24)</f>
        <v>1265</v>
      </c>
      <c r="E24" s="43">
        <v>0.45</v>
      </c>
      <c r="F24" s="52" t="s">
        <v>239</v>
      </c>
    </row>
    <row r="25" spans="1:6" x14ac:dyDescent="0.15">
      <c r="A25" s="13" t="s">
        <v>240</v>
      </c>
      <c r="B25" s="51">
        <v>176000</v>
      </c>
      <c r="C25" s="30">
        <v>210</v>
      </c>
      <c r="D25" s="39">
        <f>IF(C25=0,0,B25/C25)</f>
        <v>838.09523809523807</v>
      </c>
      <c r="E25" s="43">
        <v>0.35</v>
      </c>
      <c r="F25" s="52" t="s">
        <v>239</v>
      </c>
    </row>
    <row r="26" spans="1:6" x14ac:dyDescent="0.15">
      <c r="A26" s="13" t="s">
        <v>241</v>
      </c>
      <c r="B26" s="51">
        <v>104000</v>
      </c>
      <c r="C26" s="30">
        <v>215</v>
      </c>
      <c r="D26" s="39">
        <f>IF(C26=0,0,B26/C26)</f>
        <v>483.72093023255815</v>
      </c>
      <c r="E26" s="43">
        <v>0.2</v>
      </c>
      <c r="F26" s="52" t="s">
        <v>239</v>
      </c>
    </row>
    <row r="27" spans="1:6" x14ac:dyDescent="0.15">
      <c r="A27" s="13" t="s">
        <v>242</v>
      </c>
      <c r="E27" s="47">
        <f>SUM(E24:E26)</f>
        <v>1</v>
      </c>
    </row>
    <row r="28" spans="1:6" ht="13.5" x14ac:dyDescent="0.15">
      <c r="A28" s="53" t="s">
        <v>243</v>
      </c>
      <c r="D28" s="54">
        <f>SUMPRODUCT(D24:D26,E24:E26)</f>
        <v>959.32751937984494</v>
      </c>
    </row>
  </sheetData>
  <mergeCells count="1">
    <mergeCell ref="A2:F2"/>
  </mergeCells>
  <conditionalFormatting sqref="E27">
    <cfRule type="cellIs" dxfId="2" priority="3" operator="notEqual">
      <formula>1</formula>
    </cfRule>
  </conditionalFormatting>
  <conditionalFormatting sqref="F5:F20">
    <cfRule type="cellIs" dxfId="1" priority="2" operator="lessThan">
      <formula>0.45</formula>
    </cfRule>
  </conditionalFormatting>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4"/>
  <sheetViews>
    <sheetView showGridLines="0" topLeftCell="B1" zoomScaleNormal="100" workbookViewId="0">
      <selection activeCell="B30" sqref="B30"/>
    </sheetView>
  </sheetViews>
  <sheetFormatPr defaultColWidth="8.76171875" defaultRowHeight="12.75" x14ac:dyDescent="0.15"/>
  <cols>
    <col min="1" max="1" width="41.9375" customWidth="1"/>
    <col min="2" max="2" width="62.03125" customWidth="1"/>
    <col min="3" max="3" width="14.0234375" customWidth="1"/>
    <col min="4" max="5" width="16.046875" customWidth="1"/>
  </cols>
  <sheetData>
    <row r="1" spans="1:5" ht="18.75" customHeight="1" x14ac:dyDescent="0.2">
      <c r="A1" s="10" t="s">
        <v>244</v>
      </c>
    </row>
    <row r="2" spans="1:5" x14ac:dyDescent="0.15">
      <c r="A2" s="9" t="s">
        <v>245</v>
      </c>
      <c r="B2" s="9"/>
      <c r="C2" s="9"/>
      <c r="D2" s="9"/>
    </row>
    <row r="4" spans="1:5" x14ac:dyDescent="0.15">
      <c r="A4" s="13" t="s">
        <v>246</v>
      </c>
      <c r="B4" s="13" t="str">
        <f>'Quote Calculator'!B5</f>
        <v>Shawn Hunter</v>
      </c>
    </row>
    <row r="5" spans="1:5" x14ac:dyDescent="0.15">
      <c r="A5" s="13" t="s">
        <v>191</v>
      </c>
      <c r="B5" s="75">
        <f ca="1">'Quote Calculator'!B6</f>
        <v>46254</v>
      </c>
    </row>
    <row r="6" spans="1:5" x14ac:dyDescent="0.15">
      <c r="A6" s="13" t="s">
        <v>196</v>
      </c>
      <c r="B6" s="13" t="str">
        <f>'Quote Calculator'!B8</f>
        <v>Alexander Ryerson</v>
      </c>
    </row>
    <row r="8" spans="1:5" x14ac:dyDescent="0.15">
      <c r="A8" s="11" t="s">
        <v>247</v>
      </c>
      <c r="B8" s="11" t="s">
        <v>248</v>
      </c>
      <c r="C8" s="11" t="s">
        <v>50</v>
      </c>
      <c r="D8" s="11" t="s">
        <v>249</v>
      </c>
      <c r="E8" s="55" t="s">
        <v>250</v>
      </c>
    </row>
    <row r="9" spans="1:5" x14ac:dyDescent="0.15">
      <c r="A9" s="13" t="str">
        <f>IF('Quote Calculator'!A33="Yes",'Product Catalogue'!C5,"")</f>
        <v>FRAME — Executive Session</v>
      </c>
      <c r="B9" s="14" t="str">
        <f>IF('Quote Calculator'!A33="Yes",'Product Catalogue'!D5,"")</f>
        <v>Whether to scope at all. Verifies drivers for later fixed pricing.</v>
      </c>
      <c r="C9" s="12" t="str">
        <f>IF('Quote Calculator'!A33="Yes",'Product Catalogue'!E5,"")</f>
        <v>0.5–1 day</v>
      </c>
      <c r="D9" s="39">
        <f>IF('Quote Calculator'!A33="Yes",'Quote Calculator'!H33,"")</f>
        <v>10600</v>
      </c>
      <c r="E9" s="39">
        <f>IF('Quote Calculator'!A33="Yes",'Quote Calculator'!J33,"")</f>
        <v>0</v>
      </c>
    </row>
    <row r="10" spans="1:5" ht="24.75" customHeight="1" x14ac:dyDescent="0.15">
      <c r="A10" s="13" t="str">
        <f>IF('Quote Calculator'!A34="Yes",'Product Catalogue'!C6,"")</f>
        <v>Q2C Phase 0 — Business Operations Analysis</v>
      </c>
      <c r="B10" s="14" t="str">
        <f>IF('Quote Calculator'!A34="Yes",'Product Catalogue'!D6,"")</f>
        <v>Current state, BizApp inventory, schema, risk, readiness verdict, tier recommendation.</v>
      </c>
      <c r="C10" s="12" t="str">
        <f>IF('Quote Calculator'!A34="Yes",'Product Catalogue'!E6,"")</f>
        <v>3–6 weeks</v>
      </c>
      <c r="D10" s="39">
        <f>IF('Quote Calculator'!A34="Yes",'Quote Calculator'!H34,"")</f>
        <v>3800</v>
      </c>
      <c r="E10" s="39">
        <f>IF('Quote Calculator'!A34="Yes",'Quote Calculator'!J34,"")</f>
        <v>3800</v>
      </c>
    </row>
    <row r="11" spans="1:5" x14ac:dyDescent="0.15">
      <c r="A11" s="13" t="str">
        <f>IF('Quote Calculator'!A35="Yes",'Product Catalogue'!C7,"")</f>
        <v>Q2C Standardize &amp; Consolidate</v>
      </c>
      <c r="B11" s="14" t="str">
        <f>IF('Quote Calculator'!A35="Yes",'Product Catalogue'!D7,"")</f>
        <v>Standardised processes and consolidated data under one system of record.</v>
      </c>
      <c r="C11" s="12" t="str">
        <f>IF('Quote Calculator'!A35="Yes",'Product Catalogue'!E7,"")</f>
        <v>4–8 weeks</v>
      </c>
      <c r="D11" s="39">
        <f>IF('Quote Calculator'!A35="Yes",'Quote Calculator'!H35,"")</f>
        <v>18900</v>
      </c>
      <c r="E11" s="39">
        <f>IF('Quote Calculator'!A35="Yes",'Quote Calculator'!J35,"")</f>
        <v>18900</v>
      </c>
    </row>
    <row r="12" spans="1:5" x14ac:dyDescent="0.15">
      <c r="A12" s="13" t="str">
        <f>IF('Quote Calculator'!A36="Yes",'Product Catalogue'!C8,"")</f>
        <v>Q2C Process Improvements &amp; Integrations</v>
      </c>
      <c r="B12" s="14" t="str">
        <f>IF('Quote Calculator'!A36="Yes",'Product Catalogue'!D8,"")</f>
        <v>Gaps filled, integrations designed and delivered, schema stable.</v>
      </c>
      <c r="C12" s="12" t="str">
        <f>IF('Quote Calculator'!A36="Yes",'Product Catalogue'!E8,"")</f>
        <v>6–12 weeks</v>
      </c>
      <c r="D12" s="39">
        <f>IF('Quote Calculator'!A36="Yes",'Quote Calculator'!H36,"")</f>
        <v>25100</v>
      </c>
      <c r="E12" s="39">
        <f>IF('Quote Calculator'!A36="Yes",'Quote Calculator'!J36,"")</f>
        <v>25100</v>
      </c>
    </row>
    <row r="13" spans="1:5" x14ac:dyDescent="0.15">
      <c r="A13" s="13" t="str">
        <f>IF('Quote Calculator'!A37="Yes",'Product Catalogue'!C9,"")</f>
        <v/>
      </c>
      <c r="B13" s="14" t="str">
        <f>IF('Quote Calculator'!A37="Yes",'Product Catalogue'!D9,"")</f>
        <v/>
      </c>
      <c r="C13" s="12" t="str">
        <f>IF('Quote Calculator'!A37="Yes",'Product Catalogue'!E9,"")</f>
        <v/>
      </c>
      <c r="D13" s="39" t="str">
        <f>IF('Quote Calculator'!A37="Yes",'Quote Calculator'!H37,"")</f>
        <v/>
      </c>
      <c r="E13" s="39" t="str">
        <f>IF('Quote Calculator'!A37="Yes",'Quote Calculator'!J37,"")</f>
        <v/>
      </c>
    </row>
    <row r="14" spans="1:5" x14ac:dyDescent="0.15">
      <c r="A14" s="13" t="str">
        <f>IF('Quote Calculator'!A38="Yes",'Product Catalogue'!C10,"")</f>
        <v/>
      </c>
      <c r="B14" s="14" t="str">
        <f>IF('Quote Calculator'!A38="Yes",'Product Catalogue'!D10,"")</f>
        <v/>
      </c>
      <c r="C14" s="12" t="str">
        <f>IF('Quote Calculator'!A38="Yes",'Product Catalogue'!E10,"")</f>
        <v/>
      </c>
      <c r="D14" s="39" t="str">
        <f>IF('Quote Calculator'!A38="Yes",'Quote Calculator'!H38,"")</f>
        <v/>
      </c>
      <c r="E14" s="39" t="str">
        <f>IF('Quote Calculator'!A38="Yes",'Quote Calculator'!J38,"")</f>
        <v/>
      </c>
    </row>
    <row r="15" spans="1:5" x14ac:dyDescent="0.15">
      <c r="A15" s="13" t="str">
        <f>IF('Quote Calculator'!A39="Yes",'Product Catalogue'!C11,"")</f>
        <v/>
      </c>
      <c r="B15" s="14" t="str">
        <f>IF('Quote Calculator'!A39="Yes",'Product Catalogue'!D11,"")</f>
        <v/>
      </c>
      <c r="C15" s="12" t="str">
        <f>IF('Quote Calculator'!A39="Yes",'Product Catalogue'!E11,"")</f>
        <v/>
      </c>
      <c r="D15" s="39" t="str">
        <f>IF('Quote Calculator'!A39="Yes",'Quote Calculator'!H39,"")</f>
        <v/>
      </c>
      <c r="E15" s="39" t="str">
        <f>IF('Quote Calculator'!A39="Yes",'Quote Calculator'!J39,"")</f>
        <v/>
      </c>
    </row>
    <row r="16" spans="1:5" x14ac:dyDescent="0.15">
      <c r="A16" s="13" t="str">
        <f>IF('Quote Calculator'!A40="Yes",'Product Catalogue'!C12,"")</f>
        <v/>
      </c>
      <c r="B16" s="14" t="str">
        <f>IF('Quote Calculator'!A40="Yes",'Product Catalogue'!D12,"")</f>
        <v/>
      </c>
      <c r="C16" s="12" t="str">
        <f>IF('Quote Calculator'!A40="Yes",'Product Catalogue'!E12,"")</f>
        <v/>
      </c>
      <c r="D16" s="39" t="str">
        <f>IF('Quote Calculator'!A40="Yes",'Quote Calculator'!H40,"")</f>
        <v/>
      </c>
      <c r="E16" s="39" t="str">
        <f>IF('Quote Calculator'!A40="Yes",'Quote Calculator'!J40,"")</f>
        <v/>
      </c>
    </row>
    <row r="17" spans="1:5" x14ac:dyDescent="0.15">
      <c r="A17" s="13" t="str">
        <f>IF('Quote Calculator'!A41="Yes",'Product Catalogue'!C13,"")</f>
        <v/>
      </c>
      <c r="B17" s="14" t="str">
        <f>IF('Quote Calculator'!A41="Yes",'Product Catalogue'!D13,"")</f>
        <v/>
      </c>
      <c r="C17" s="12" t="str">
        <f>IF('Quote Calculator'!A41="Yes",'Product Catalogue'!E13,"")</f>
        <v/>
      </c>
      <c r="D17" s="39" t="str">
        <f>IF('Quote Calculator'!A41="Yes",'Quote Calculator'!H41,"")</f>
        <v/>
      </c>
      <c r="E17" s="39" t="str">
        <f>IF('Quote Calculator'!A41="Yes",'Quote Calculator'!J41,"")</f>
        <v/>
      </c>
    </row>
    <row r="18" spans="1:5" x14ac:dyDescent="0.15">
      <c r="A18" s="13" t="str">
        <f>IF('Quote Calculator'!A42="Yes",'Product Catalogue'!C14,"")</f>
        <v/>
      </c>
      <c r="B18" s="14" t="str">
        <f>IF('Quote Calculator'!A42="Yes",'Product Catalogue'!D14,"")</f>
        <v/>
      </c>
      <c r="C18" s="12" t="str">
        <f>IF('Quote Calculator'!A42="Yes",'Product Catalogue'!E14,"")</f>
        <v/>
      </c>
      <c r="D18" s="39" t="str">
        <f>IF('Quote Calculator'!A42="Yes",'Quote Calculator'!H42,"")</f>
        <v/>
      </c>
      <c r="E18" s="39" t="str">
        <f>IF('Quote Calculator'!A42="Yes",'Quote Calculator'!J42,"")</f>
        <v/>
      </c>
    </row>
    <row r="19" spans="1:5" x14ac:dyDescent="0.15">
      <c r="A19" s="13" t="str">
        <f>IF('Quote Calculator'!A43="Yes",'Product Catalogue'!C15,"")</f>
        <v/>
      </c>
      <c r="B19" s="14" t="str">
        <f>IF('Quote Calculator'!A43="Yes",'Product Catalogue'!D15,"")</f>
        <v/>
      </c>
      <c r="C19" s="12" t="str">
        <f>IF('Quote Calculator'!A43="Yes",'Product Catalogue'!E15,"")</f>
        <v/>
      </c>
      <c r="D19" s="39" t="str">
        <f>IF('Quote Calculator'!A43="Yes",'Quote Calculator'!H43,"")</f>
        <v/>
      </c>
      <c r="E19" s="39" t="str">
        <f>IF('Quote Calculator'!A43="Yes",'Quote Calculator'!J43,"")</f>
        <v/>
      </c>
    </row>
    <row r="20" spans="1:5" x14ac:dyDescent="0.15">
      <c r="A20" s="13" t="str">
        <f>IF('Quote Calculator'!A44="Yes",'Product Catalogue'!C16,"")</f>
        <v/>
      </c>
      <c r="B20" s="14" t="str">
        <f>IF('Quote Calculator'!A44="Yes",'Product Catalogue'!D16,"")</f>
        <v/>
      </c>
      <c r="C20" s="12" t="str">
        <f>IF('Quote Calculator'!A44="Yes",'Product Catalogue'!E16,"")</f>
        <v/>
      </c>
      <c r="D20" s="39" t="str">
        <f>IF('Quote Calculator'!A44="Yes",'Quote Calculator'!H44,"")</f>
        <v/>
      </c>
      <c r="E20" s="39" t="str">
        <f>IF('Quote Calculator'!A44="Yes",'Quote Calculator'!J44,"")</f>
        <v/>
      </c>
    </row>
    <row r="21" spans="1:5" x14ac:dyDescent="0.15">
      <c r="A21" s="13" t="str">
        <f>IF('Quote Calculator'!A45="Yes",'Product Catalogue'!C17,"")</f>
        <v/>
      </c>
      <c r="B21" s="14" t="str">
        <f>IF('Quote Calculator'!A45="Yes",'Product Catalogue'!D17,"")</f>
        <v/>
      </c>
      <c r="C21" s="12" t="str">
        <f>IF('Quote Calculator'!A45="Yes",'Product Catalogue'!E17,"")</f>
        <v/>
      </c>
      <c r="D21" s="39" t="str">
        <f>IF('Quote Calculator'!A45="Yes",'Quote Calculator'!H45,"")</f>
        <v/>
      </c>
      <c r="E21" s="39" t="str">
        <f>IF('Quote Calculator'!A45="Yes",'Quote Calculator'!J45,"")</f>
        <v/>
      </c>
    </row>
    <row r="22" spans="1:5" x14ac:dyDescent="0.15">
      <c r="A22" s="13" t="str">
        <f>IF('Quote Calculator'!A46="Yes",'Product Catalogue'!C18,"")</f>
        <v/>
      </c>
      <c r="B22" s="14" t="str">
        <f>IF('Quote Calculator'!A46="Yes",'Product Catalogue'!D18,"")</f>
        <v/>
      </c>
      <c r="C22" s="12" t="str">
        <f>IF('Quote Calculator'!A46="Yes",'Product Catalogue'!E18,"")</f>
        <v/>
      </c>
      <c r="D22" s="39" t="str">
        <f>IF('Quote Calculator'!A46="Yes",'Quote Calculator'!H46,"")</f>
        <v/>
      </c>
      <c r="E22" s="39" t="str">
        <f>IF('Quote Calculator'!A46="Yes",'Quote Calculator'!J46,"")</f>
        <v/>
      </c>
    </row>
    <row r="23" spans="1:5" x14ac:dyDescent="0.15">
      <c r="A23" s="13" t="str">
        <f>IF('Quote Calculator'!A47="Yes",'Product Catalogue'!C19,"")</f>
        <v/>
      </c>
      <c r="B23" s="14" t="str">
        <f>IF('Quote Calculator'!A47="Yes",'Product Catalogue'!D19,"")</f>
        <v/>
      </c>
      <c r="C23" s="12" t="str">
        <f>IF('Quote Calculator'!A47="Yes",'Product Catalogue'!E19,"")</f>
        <v/>
      </c>
      <c r="D23" s="39" t="str">
        <f>IF('Quote Calculator'!A47="Yes",'Quote Calculator'!H47,"")</f>
        <v/>
      </c>
      <c r="E23" s="39" t="str">
        <f>IF('Quote Calculator'!A47="Yes",'Quote Calculator'!J47,"")</f>
        <v/>
      </c>
    </row>
    <row r="24" spans="1:5" x14ac:dyDescent="0.15">
      <c r="A24" s="13" t="str">
        <f>IF('Quote Calculator'!A48="Yes",'Product Catalogue'!C20,"")</f>
        <v/>
      </c>
      <c r="B24" s="14" t="str">
        <f>IF('Quote Calculator'!A48="Yes",'Product Catalogue'!D20,"")</f>
        <v/>
      </c>
      <c r="C24" s="12" t="str">
        <f>IF('Quote Calculator'!A48="Yes",'Product Catalogue'!E20,"")</f>
        <v/>
      </c>
      <c r="D24" s="39" t="str">
        <f>IF('Quote Calculator'!A48="Yes",'Quote Calculator'!H48,"")</f>
        <v/>
      </c>
      <c r="E24" s="39" t="str">
        <f>IF('Quote Calculator'!A48="Yes",'Quote Calculator'!J48,"")</f>
        <v/>
      </c>
    </row>
    <row r="25" spans="1:5" ht="14.25" x14ac:dyDescent="0.15">
      <c r="C25" s="56" t="s">
        <v>251</v>
      </c>
      <c r="D25" s="57"/>
      <c r="E25" s="58">
        <f>'Quote Calculator'!J51</f>
        <v>47800</v>
      </c>
    </row>
    <row r="26" spans="1:5" ht="15" x14ac:dyDescent="0.2">
      <c r="C26" s="59" t="str">
        <f>IF('Quote Calculator'!D6="Yes",IF(OR('Quote Calculator'!D5="Ontario",'Quote Calculator'!D5="Nova Scotia",'Quote Calculator'!D5="New Brunswick",'Quote Calculator'!D5="Newfoundland and Labrador",'Quote Calculator'!D5="Prince Edward Island"),"HST","GST"),"GST/HST")</f>
        <v>GST</v>
      </c>
      <c r="D26" s="59"/>
      <c r="E26" s="60">
        <f>ROUND(E25*'Quote Calculator'!D7,2)</f>
        <v>0</v>
      </c>
    </row>
    <row r="27" spans="1:5" ht="15" x14ac:dyDescent="0.2">
      <c r="A27" s="15"/>
      <c r="C27" s="61" t="s">
        <v>252</v>
      </c>
      <c r="D27" s="61"/>
      <c r="E27" s="62">
        <f>E25+E26</f>
        <v>47800</v>
      </c>
    </row>
    <row r="28" spans="1:5" ht="24.75" customHeight="1" x14ac:dyDescent="0.15">
      <c r="A28" s="14"/>
    </row>
    <row r="29" spans="1:5" ht="24.75" customHeight="1" x14ac:dyDescent="0.15">
      <c r="A29" s="14" t="s">
        <v>253</v>
      </c>
    </row>
    <row r="30" spans="1:5" ht="59.25" customHeight="1" x14ac:dyDescent="0.2">
      <c r="A30" s="63" t="str">
        <f>IF('Quote Calculator'!D6="Yes","• GST/HST is calculated using the client province or territory and added where required by law.","• Not registered for GST/HST; no HST charged.")</f>
        <v>• GST/HST is calculated using the client province or territory and added where required by law.</v>
      </c>
      <c r="B30" s="29"/>
      <c r="C30" s="29"/>
      <c r="D30" s="29"/>
      <c r="E30" s="29"/>
    </row>
    <row r="31" spans="1:5" ht="24.75" customHeight="1" x14ac:dyDescent="0.2">
      <c r="A31" s="63" t="s">
        <v>254</v>
      </c>
      <c r="B31" s="29"/>
      <c r="C31" s="29"/>
      <c r="D31" s="29"/>
      <c r="E31" s="29"/>
    </row>
    <row r="32" spans="1:5" ht="36" customHeight="1" x14ac:dyDescent="0.2">
      <c r="A32" s="63" t="s">
        <v>255</v>
      </c>
      <c r="B32" s="29"/>
      <c r="C32" s="29"/>
      <c r="D32" s="29"/>
      <c r="E32" s="29"/>
    </row>
    <row r="33" spans="1:5" ht="27.75" x14ac:dyDescent="0.2">
      <c r="A33" s="29" t="s">
        <v>256</v>
      </c>
      <c r="B33" s="29"/>
      <c r="C33" s="29"/>
      <c r="D33" s="29"/>
      <c r="E33" s="29"/>
    </row>
    <row r="34" spans="1:5" ht="41.25" x14ac:dyDescent="0.2">
      <c r="A34" s="29" t="s">
        <v>257</v>
      </c>
      <c r="B34" s="29"/>
      <c r="C34" s="29"/>
      <c r="D34" s="29"/>
      <c r="E34" s="29"/>
    </row>
  </sheetData>
  <mergeCells count="1">
    <mergeCell ref="A2:D2"/>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7"/>
  <sheetViews>
    <sheetView showGridLines="0" zoomScaleNormal="100" workbookViewId="0"/>
  </sheetViews>
  <sheetFormatPr defaultColWidth="8.76171875" defaultRowHeight="12.75" x14ac:dyDescent="0.15"/>
  <cols>
    <col min="1" max="2" width="69.98828125" customWidth="1"/>
    <col min="3" max="3" width="20.08984375" customWidth="1"/>
    <col min="4" max="4" width="64.0546875" customWidth="1"/>
    <col min="5" max="5" width="9.9765625" customWidth="1"/>
  </cols>
  <sheetData>
    <row r="1" spans="1:12" ht="18.75" customHeight="1" x14ac:dyDescent="0.2">
      <c r="A1" s="10" t="s">
        <v>26</v>
      </c>
      <c r="G1" s="4" t="s">
        <v>258</v>
      </c>
      <c r="H1" s="4"/>
      <c r="I1" s="4"/>
      <c r="J1" s="64"/>
      <c r="K1" s="64"/>
      <c r="L1" s="65"/>
    </row>
    <row r="2" spans="1:12" ht="46.35" customHeight="1" x14ac:dyDescent="0.2">
      <c r="A2" s="9" t="s">
        <v>259</v>
      </c>
      <c r="B2" s="9"/>
      <c r="C2" s="9"/>
      <c r="D2" s="9"/>
      <c r="E2" s="9"/>
      <c r="G2" s="3" t="s">
        <v>260</v>
      </c>
      <c r="H2" s="3"/>
      <c r="I2" s="3"/>
      <c r="J2" s="3"/>
      <c r="K2" s="3"/>
      <c r="L2" s="3"/>
    </row>
    <row r="3" spans="1:12" ht="15" x14ac:dyDescent="0.2">
      <c r="G3" s="66"/>
      <c r="H3" s="67"/>
      <c r="I3" s="67"/>
      <c r="J3" s="67"/>
      <c r="K3" s="67"/>
      <c r="L3" s="68"/>
    </row>
    <row r="4" spans="1:12" ht="15" x14ac:dyDescent="0.2">
      <c r="A4" s="11" t="s">
        <v>46</v>
      </c>
      <c r="B4" s="11" t="s">
        <v>261</v>
      </c>
      <c r="C4" s="11" t="s">
        <v>262</v>
      </c>
      <c r="D4" s="11" t="s">
        <v>263</v>
      </c>
      <c r="E4" s="11" t="s">
        <v>264</v>
      </c>
      <c r="G4" s="69" t="s">
        <v>190</v>
      </c>
      <c r="H4" s="70" t="s">
        <v>265</v>
      </c>
      <c r="I4" s="70" t="s">
        <v>266</v>
      </c>
      <c r="J4" s="2" t="s">
        <v>267</v>
      </c>
      <c r="K4" s="2"/>
      <c r="L4" s="2"/>
    </row>
    <row r="5" spans="1:12" ht="15" customHeight="1" x14ac:dyDescent="0.2">
      <c r="A5" s="12" t="s">
        <v>268</v>
      </c>
      <c r="B5" s="13" t="s">
        <v>269</v>
      </c>
      <c r="C5" s="13" t="s">
        <v>14</v>
      </c>
      <c r="D5" s="14" t="s">
        <v>270</v>
      </c>
      <c r="E5" s="12" t="s">
        <v>271</v>
      </c>
      <c r="G5" s="66" t="s">
        <v>272</v>
      </c>
      <c r="H5" s="67" t="s">
        <v>273</v>
      </c>
      <c r="I5" s="28">
        <v>0.05</v>
      </c>
      <c r="J5" s="1" t="s">
        <v>274</v>
      </c>
      <c r="K5" s="1"/>
      <c r="L5" s="1"/>
    </row>
    <row r="6" spans="1:12" ht="24.75" customHeight="1" x14ac:dyDescent="0.2">
      <c r="A6" s="12" t="s">
        <v>275</v>
      </c>
      <c r="B6" s="13" t="s">
        <v>276</v>
      </c>
      <c r="C6" s="13" t="s">
        <v>14</v>
      </c>
      <c r="D6" s="14" t="s">
        <v>277</v>
      </c>
      <c r="E6" s="12" t="s">
        <v>271</v>
      </c>
      <c r="G6" s="66" t="s">
        <v>278</v>
      </c>
      <c r="H6" s="67" t="s">
        <v>273</v>
      </c>
      <c r="I6" s="28">
        <v>0.05</v>
      </c>
      <c r="J6" s="1"/>
      <c r="K6" s="1"/>
      <c r="L6" s="1"/>
    </row>
    <row r="7" spans="1:12" ht="15" x14ac:dyDescent="0.2">
      <c r="A7" s="12" t="s">
        <v>279</v>
      </c>
      <c r="B7" s="13" t="s">
        <v>280</v>
      </c>
      <c r="C7" s="13" t="s">
        <v>18</v>
      </c>
      <c r="D7" s="14" t="s">
        <v>281</v>
      </c>
      <c r="E7" s="12" t="s">
        <v>271</v>
      </c>
      <c r="G7" s="66" t="s">
        <v>282</v>
      </c>
      <c r="H7" s="67" t="s">
        <v>273</v>
      </c>
      <c r="I7" s="28">
        <v>0.05</v>
      </c>
      <c r="J7" s="1"/>
      <c r="K7" s="1"/>
      <c r="L7" s="1"/>
    </row>
    <row r="8" spans="1:12" ht="15" x14ac:dyDescent="0.2">
      <c r="A8" s="12" t="s">
        <v>283</v>
      </c>
      <c r="B8" s="13" t="s">
        <v>284</v>
      </c>
      <c r="C8" s="13" t="s">
        <v>18</v>
      </c>
      <c r="D8" s="14" t="s">
        <v>285</v>
      </c>
      <c r="E8" s="12" t="s">
        <v>271</v>
      </c>
      <c r="G8" s="66" t="s">
        <v>286</v>
      </c>
      <c r="H8" s="67" t="s">
        <v>287</v>
      </c>
      <c r="I8" s="28">
        <v>0.15</v>
      </c>
      <c r="J8" s="1"/>
      <c r="K8" s="1"/>
      <c r="L8" s="1"/>
    </row>
    <row r="9" spans="1:12" ht="15" x14ac:dyDescent="0.2">
      <c r="A9" s="12" t="s">
        <v>288</v>
      </c>
      <c r="B9" s="13" t="s">
        <v>289</v>
      </c>
      <c r="C9" s="13" t="s">
        <v>7</v>
      </c>
      <c r="D9" s="14" t="s">
        <v>290</v>
      </c>
      <c r="E9" s="12" t="s">
        <v>271</v>
      </c>
      <c r="G9" s="66" t="s">
        <v>291</v>
      </c>
      <c r="H9" s="67" t="s">
        <v>287</v>
      </c>
      <c r="I9" s="28">
        <v>0.15</v>
      </c>
      <c r="J9" s="1"/>
      <c r="K9" s="1"/>
      <c r="L9" s="1"/>
    </row>
    <row r="10" spans="1:12" ht="15" x14ac:dyDescent="0.2">
      <c r="A10" s="12" t="s">
        <v>292</v>
      </c>
      <c r="B10" s="13" t="s">
        <v>293</v>
      </c>
      <c r="C10" s="13" t="s">
        <v>22</v>
      </c>
      <c r="D10" s="14" t="s">
        <v>294</v>
      </c>
      <c r="E10" s="12" t="s">
        <v>271</v>
      </c>
      <c r="G10" s="66" t="s">
        <v>295</v>
      </c>
      <c r="H10" s="67" t="s">
        <v>273</v>
      </c>
      <c r="I10" s="28">
        <v>0.05</v>
      </c>
      <c r="J10" s="1"/>
      <c r="K10" s="1"/>
      <c r="L10" s="1"/>
    </row>
    <row r="11" spans="1:12" ht="24.75" x14ac:dyDescent="0.2">
      <c r="A11" s="12" t="s">
        <v>296</v>
      </c>
      <c r="B11" s="13" t="s">
        <v>297</v>
      </c>
      <c r="C11" s="13" t="s">
        <v>14</v>
      </c>
      <c r="D11" s="14" t="s">
        <v>298</v>
      </c>
      <c r="E11" s="12" t="s">
        <v>299</v>
      </c>
      <c r="G11" s="66" t="s">
        <v>300</v>
      </c>
      <c r="H11" s="67" t="s">
        <v>287</v>
      </c>
      <c r="I11" s="28">
        <v>0.14000000000000001</v>
      </c>
      <c r="J11" s="67"/>
      <c r="K11" s="67"/>
      <c r="L11" s="68"/>
    </row>
    <row r="12" spans="1:12" ht="15" x14ac:dyDescent="0.2">
      <c r="A12" s="12" t="s">
        <v>301</v>
      </c>
      <c r="B12" s="13" t="s">
        <v>302</v>
      </c>
      <c r="C12" s="13" t="s">
        <v>14</v>
      </c>
      <c r="D12" s="14" t="s">
        <v>303</v>
      </c>
      <c r="E12" s="12" t="s">
        <v>299</v>
      </c>
      <c r="G12" s="66" t="s">
        <v>304</v>
      </c>
      <c r="H12" s="67" t="s">
        <v>273</v>
      </c>
      <c r="I12" s="28">
        <v>0.05</v>
      </c>
      <c r="J12" s="67"/>
      <c r="K12" s="67"/>
      <c r="L12" s="68"/>
    </row>
    <row r="13" spans="1:12" ht="15" x14ac:dyDescent="0.2">
      <c r="A13" s="12" t="s">
        <v>305</v>
      </c>
      <c r="B13" s="13" t="s">
        <v>306</v>
      </c>
      <c r="C13" s="13" t="s">
        <v>14</v>
      </c>
      <c r="D13" s="14" t="s">
        <v>307</v>
      </c>
      <c r="E13" s="12" t="s">
        <v>299</v>
      </c>
      <c r="G13" s="66" t="s">
        <v>308</v>
      </c>
      <c r="H13" s="67" t="s">
        <v>287</v>
      </c>
      <c r="I13" s="28">
        <v>0.13</v>
      </c>
      <c r="J13" s="67"/>
      <c r="K13" s="67"/>
      <c r="L13" s="68"/>
    </row>
    <row r="14" spans="1:12" ht="15" x14ac:dyDescent="0.2">
      <c r="G14" s="66" t="s">
        <v>309</v>
      </c>
      <c r="H14" s="67" t="s">
        <v>287</v>
      </c>
      <c r="I14" s="28">
        <v>0.15</v>
      </c>
      <c r="J14" s="67"/>
      <c r="K14" s="67"/>
      <c r="L14" s="68"/>
    </row>
    <row r="15" spans="1:12" ht="15" x14ac:dyDescent="0.2">
      <c r="A15" s="15" t="s">
        <v>310</v>
      </c>
      <c r="G15" s="66" t="s">
        <v>311</v>
      </c>
      <c r="H15" s="67" t="s">
        <v>273</v>
      </c>
      <c r="I15" s="28">
        <v>0.05</v>
      </c>
      <c r="J15" s="67"/>
      <c r="K15" s="67"/>
      <c r="L15" s="68"/>
    </row>
    <row r="16" spans="1:12" ht="15" x14ac:dyDescent="0.2">
      <c r="A16" s="11" t="s">
        <v>312</v>
      </c>
      <c r="B16" s="11" t="s">
        <v>313</v>
      </c>
      <c r="G16" s="66" t="s">
        <v>314</v>
      </c>
      <c r="H16" s="67" t="s">
        <v>273</v>
      </c>
      <c r="I16" s="28">
        <v>0.05</v>
      </c>
      <c r="J16" s="67"/>
      <c r="K16" s="67"/>
      <c r="L16" s="68"/>
    </row>
    <row r="17" spans="1:12" ht="15" x14ac:dyDescent="0.2">
      <c r="A17" s="14" t="s">
        <v>315</v>
      </c>
      <c r="B17" s="14" t="s">
        <v>316</v>
      </c>
      <c r="G17" s="71" t="s">
        <v>317</v>
      </c>
      <c r="H17" s="72" t="s">
        <v>273</v>
      </c>
      <c r="I17" s="73">
        <v>0.05</v>
      </c>
      <c r="J17" s="72"/>
      <c r="K17" s="72"/>
      <c r="L17" s="74"/>
    </row>
  </sheetData>
  <mergeCells count="5">
    <mergeCell ref="G1:I1"/>
    <mergeCell ref="A2:E2"/>
    <mergeCell ref="G2:L2"/>
    <mergeCell ref="J4:L4"/>
    <mergeCell ref="J5:L10"/>
  </mergeCells>
  <conditionalFormatting sqref="E5:E13">
    <cfRule type="cellIs" dxfId="0" priority="2" operator="equal">
      <formula>"HARD"</formula>
    </cfRule>
  </conditionalFormatting>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iOS</Application>
  <ScaleCrop>false</ScaleCrop>
  <HeadingPairs>
    <vt:vector size="2" baseType="variant">
      <vt:variant>
        <vt:lpstr>Worksheets</vt:lpstr>
      </vt:variant>
      <vt:variant>
        <vt:i4>7</vt:i4>
      </vt:variant>
    </vt:vector>
  </HeadingPairs>
  <TitlesOfParts>
    <vt:vector size="7" baseType="lpstr">
      <vt:lpstr>START HERE</vt:lpstr>
      <vt:lpstr>Product Catalogue</vt:lpstr>
      <vt:lpstr>Complexity Drivers</vt:lpstr>
      <vt:lpstr>Quote Calculator</vt:lpstr>
      <vt:lpstr>Unit Economics</vt:lpstr>
      <vt:lpstr>Client Quote</vt:lpstr>
      <vt:lpstr>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0</cp:revision>
  <dcterms:created xsi:type="dcterms:W3CDTF">2026-08-20T21:32:12Z</dcterms:created>
  <dc:language>en-US</dc:language>
</cp:coreProperties>
</file>